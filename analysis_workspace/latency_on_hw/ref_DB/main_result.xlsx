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Prefill" sheetId="2" state="visible" r:id="rId4"/>
    <sheet name="Decode_BS1" sheetId="3" state="visible" r:id="rId5"/>
    <sheet name="Decode_BS8" sheetId="4" state="visible" r:id="rId6"/>
    <sheet name="Decode_BS6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<sst xmlns="http://schemas.openxmlformats.org/spreadsheetml/2006/main" count="202" uniqueCount="65">
  <si>
    <t xml:space="preserve">Inputs — edit blue cells; other sheets recompute via formula</t>
  </si>
  <si>
    <t xml:space="preserve">Area ratio (fp16 : fp-int)</t>
  </si>
  <si>
    <t xml:space="preserve">Power ratio (fp16 : fp-int)</t>
  </si>
  <si>
    <t xml:space="preserve">SIMD divisor (softmax/rest)</t>
  </si>
  <si>
    <t xml:space="preserve">PREFILL raw cycles</t>
  </si>
  <si>
    <t xml:space="preserve">s64</t>
  </si>
  <si>
    <t xml:space="preserve">s128</t>
  </si>
  <si>
    <t xml:space="preserve">s256</t>
  </si>
  <si>
    <t xml:space="preserve">s512</t>
  </si>
  <si>
    <t xml:space="preserve">s1024</t>
  </si>
  <si>
    <t xml:space="preserve">s2048</t>
  </si>
  <si>
    <t xml:space="preserve">s4096</t>
  </si>
  <si>
    <t xml:space="preserve">s8192</t>
  </si>
  <si>
    <t xml:space="preserve">s16384</t>
  </si>
  <si>
    <t xml:space="preserve">fp16 qk</t>
  </si>
  <si>
    <t xml:space="preserve">fp16 pv</t>
  </si>
  <si>
    <t xml:space="preserve">fp16 qkv</t>
  </si>
  <si>
    <t xml:space="preserve">fp16 out</t>
  </si>
  <si>
    <t xml:space="preserve">fp16 ffn</t>
  </si>
  <si>
    <t xml:space="preserve">fi qk</t>
  </si>
  <si>
    <t xml:space="preserve">fi pv</t>
  </si>
  <si>
    <t xml:space="preserve">fi qkv</t>
  </si>
  <si>
    <t xml:space="preserve">fi out</t>
  </si>
  <si>
    <t xml:space="preserve">fi ffn</t>
  </si>
  <si>
    <t xml:space="preserve">imp qk</t>
  </si>
  <si>
    <t xml:space="preserve">imp pv</t>
  </si>
  <si>
    <t xml:space="preserve">imp qkv</t>
  </si>
  <si>
    <t xml:space="preserve">imp out</t>
  </si>
  <si>
    <t xml:space="preserve">imp ffn</t>
  </si>
  <si>
    <t xml:space="preserve">softmax</t>
  </si>
  <si>
    <t xml:space="preserve">rest</t>
  </si>
  <si>
    <t xml:space="preserve">DECODE BS=1 attention raw</t>
  </si>
  <si>
    <t xml:space="preserve">DECODE BS=8 attention raw</t>
  </si>
  <si>
    <t xml:space="preserve">DECODE BS=64 attention raw</t>
  </si>
  <si>
    <t xml:space="preserve">DECODE linear raw (constant per BS, M-only)</t>
  </si>
  <si>
    <t xml:space="preserve">scheme</t>
  </si>
  <si>
    <t xml:space="preserve">BS</t>
  </si>
  <si>
    <t xml:space="preserve">qkv</t>
  </si>
  <si>
    <t xml:space="preserve">out</t>
  </si>
  <si>
    <t xml:space="preserve">ffn</t>
  </si>
  <si>
    <t xml:space="preserve">fp16</t>
  </si>
  <si>
    <t xml:space="preserve">fi</t>
  </si>
  <si>
    <t xml:space="preserve">imp</t>
  </si>
  <si>
    <t xml:space="preserve">DECODE softmax / rest (BS=1, scale by BS)</t>
  </si>
  <si>
    <t xml:space="preserve">Prefill — totals and speedup vs C1 (formulas)</t>
  </si>
  <si>
    <t xml:space="preserve">seq</t>
  </si>
  <si>
    <t xml:space="preserve">C1 (ISO-AREA)</t>
  </si>
  <si>
    <t xml:space="preserve">C2 (ISO-AREA)</t>
  </si>
  <si>
    <t xml:space="preserve">C3 (ISO-AREA)</t>
  </si>
  <si>
    <t xml:space="preserve">C4 (ISO-AREA)</t>
  </si>
  <si>
    <t xml:space="preserve">C1 (ISO-POWER)</t>
  </si>
  <si>
    <t xml:space="preserve">C2 (ISO-POWER)</t>
  </si>
  <si>
    <t xml:space="preserve">C3 (ISO-POWER)</t>
  </si>
  <si>
    <t xml:space="preserve">C4 (ISO-POWER)</t>
  </si>
  <si>
    <t xml:space="preserve">C1 speedup (IA)</t>
  </si>
  <si>
    <t xml:space="preserve">C2 speedup (IA)</t>
  </si>
  <si>
    <t xml:space="preserve">C3 speedup (IA)</t>
  </si>
  <si>
    <t xml:space="preserve">C4 speedup (IA)</t>
  </si>
  <si>
    <t xml:space="preserve">C1 speedup (IP)</t>
  </si>
  <si>
    <t xml:space="preserve">C2 speedup (IP)</t>
  </si>
  <si>
    <t xml:space="preserve">C3 speedup (IP)</t>
  </si>
  <si>
    <t xml:space="preserve">C4 speedup (IP)</t>
  </si>
  <si>
    <t xml:space="preserve">Decode BS=1 — totals and speedup vs C1 (formulas)</t>
  </si>
  <si>
    <t xml:space="preserve">Decode BS=8 — totals and speedup vs C1 (formulas)</t>
  </si>
  <si>
    <t xml:space="preserve">Decode BS=64 — totals and speedup vs C1 (formulas)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</si>
</sst>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0\x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1F2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3" t="n">
        <v>10.19</v>
      </c>
    </row>
    <row r="4" customFormat="false" ht="15" hidden="false" customHeight="false" outlineLevel="0" collapsed="false">
      <c r="A4" s="2" t="s">
        <v>2</v>
      </c>
      <c r="B4" s="3" t="n">
        <v>3.37</v>
      </c>
    </row>
    <row r="5" customFormat="false" ht="15" hidden="false" customHeight="false" outlineLevel="0" collapsed="false">
      <c r="A5" s="2" t="s">
        <v>3</v>
      </c>
      <c r="B5" s="3" t="n">
        <v>4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2"/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</row>
    <row r="9" customFormat="false" ht="15" hidden="false" customHeight="false" outlineLevel="0" collapsed="false">
      <c r="A9" s="6" t="s">
        <v>14</v>
      </c>
      <c r="B9" s="3" t="n">
        <v>226</v>
      </c>
      <c r="C9" s="3" t="n">
        <v>778</v>
      </c>
      <c r="D9" s="3" t="n">
        <v>3030</v>
      </c>
      <c r="E9" s="3" t="n">
        <v>11845</v>
      </c>
      <c r="F9" s="3" t="n">
        <v>47509</v>
      </c>
      <c r="G9" s="3" t="n">
        <v>182713</v>
      </c>
      <c r="H9" s="3" t="n">
        <v>730800</v>
      </c>
      <c r="I9" s="3" t="n">
        <v>2850100</v>
      </c>
      <c r="J9" s="3" t="n">
        <v>11400400</v>
      </c>
    </row>
    <row r="10" customFormat="false" ht="15" hidden="false" customHeight="false" outlineLevel="0" collapsed="false">
      <c r="A10" s="6" t="s">
        <v>15</v>
      </c>
      <c r="B10" s="3" t="n">
        <v>257</v>
      </c>
      <c r="C10" s="3" t="n">
        <v>782</v>
      </c>
      <c r="D10" s="3" t="n">
        <v>2758</v>
      </c>
      <c r="E10" s="3" t="n">
        <v>10248</v>
      </c>
      <c r="F10" s="3" t="n">
        <v>40024</v>
      </c>
      <c r="G10" s="3" t="n">
        <v>156063</v>
      </c>
      <c r="H10" s="3" t="n">
        <v>730800</v>
      </c>
      <c r="I10" s="3" t="n">
        <v>2850100</v>
      </c>
      <c r="J10" s="3" t="n">
        <v>11400400</v>
      </c>
    </row>
    <row r="11" customFormat="false" ht="15" hidden="false" customHeight="false" outlineLevel="0" collapsed="false">
      <c r="A11" s="6" t="s">
        <v>16</v>
      </c>
      <c r="B11" s="3" t="n">
        <v>33510</v>
      </c>
      <c r="C11" s="3" t="n">
        <v>67020</v>
      </c>
      <c r="D11" s="3" t="n">
        <v>134040</v>
      </c>
      <c r="E11" s="3" t="n">
        <v>268080</v>
      </c>
      <c r="F11" s="3" t="n">
        <v>536160</v>
      </c>
      <c r="G11" s="3" t="n">
        <v>1072320</v>
      </c>
      <c r="H11" s="3" t="n">
        <v>2144640</v>
      </c>
      <c r="I11" s="3" t="n">
        <v>4289280</v>
      </c>
      <c r="J11" s="3" t="n">
        <v>8578560</v>
      </c>
    </row>
    <row r="12" customFormat="false" ht="15" hidden="false" customHeight="false" outlineLevel="0" collapsed="false">
      <c r="A12" s="6" t="s">
        <v>17</v>
      </c>
      <c r="B12" s="3" t="n">
        <v>11170</v>
      </c>
      <c r="C12" s="3" t="n">
        <v>22340</v>
      </c>
      <c r="D12" s="3" t="n">
        <v>44680</v>
      </c>
      <c r="E12" s="3" t="n">
        <v>89360</v>
      </c>
      <c r="F12" s="3" t="n">
        <v>178720</v>
      </c>
      <c r="G12" s="3" t="n">
        <v>357440</v>
      </c>
      <c r="H12" s="3" t="n">
        <v>714880</v>
      </c>
      <c r="I12" s="3" t="n">
        <v>1429760</v>
      </c>
      <c r="J12" s="3" t="n">
        <v>2859520</v>
      </c>
    </row>
    <row r="13" customFormat="false" ht="15" hidden="false" customHeight="false" outlineLevel="0" collapsed="false">
      <c r="A13" s="6" t="s">
        <v>18</v>
      </c>
      <c r="B13" s="3" t="n">
        <v>91395</v>
      </c>
      <c r="C13" s="3" t="n">
        <v>182790</v>
      </c>
      <c r="D13" s="3" t="n">
        <v>365580</v>
      </c>
      <c r="E13" s="3" t="n">
        <v>731160</v>
      </c>
      <c r="F13" s="3" t="n">
        <v>1462320</v>
      </c>
      <c r="G13" s="3" t="n">
        <v>2924640</v>
      </c>
      <c r="H13" s="3" t="n">
        <v>5849280</v>
      </c>
      <c r="I13" s="3" t="n">
        <v>11698560</v>
      </c>
      <c r="J13" s="3" t="n">
        <v>23397120</v>
      </c>
    </row>
    <row r="14" customFormat="false" ht="15" hidden="false" customHeight="false" outlineLevel="0" collapsed="false">
      <c r="A14" s="6" t="s">
        <v>19</v>
      </c>
      <c r="B14" s="3" t="n">
        <v>61</v>
      </c>
      <c r="C14" s="3" t="n">
        <v>95</v>
      </c>
      <c r="D14" s="3" t="n">
        <v>162</v>
      </c>
      <c r="E14" s="3" t="n">
        <v>562</v>
      </c>
      <c r="F14" s="3" t="n">
        <v>2037</v>
      </c>
      <c r="G14" s="3" t="n">
        <v>8222</v>
      </c>
      <c r="H14" s="3" t="n">
        <v>32888</v>
      </c>
      <c r="I14" s="3" t="n">
        <v>131552</v>
      </c>
      <c r="J14" s="3" t="n">
        <v>499897</v>
      </c>
    </row>
    <row r="15" customFormat="false" ht="15" hidden="false" customHeight="false" outlineLevel="0" collapsed="false">
      <c r="A15" s="6" t="s">
        <v>20</v>
      </c>
      <c r="B15" s="3" t="n">
        <v>59</v>
      </c>
      <c r="C15" s="3" t="n">
        <v>93</v>
      </c>
      <c r="D15" s="3" t="n">
        <v>161</v>
      </c>
      <c r="E15" s="3" t="n">
        <v>409</v>
      </c>
      <c r="F15" s="3" t="n">
        <v>1266</v>
      </c>
      <c r="G15" s="3" t="n">
        <v>4629</v>
      </c>
      <c r="H15" s="3" t="n">
        <v>18512</v>
      </c>
      <c r="I15" s="3" t="n">
        <v>74048</v>
      </c>
      <c r="J15" s="3" t="n">
        <v>318406</v>
      </c>
    </row>
    <row r="16" customFormat="false" ht="15" hidden="false" customHeight="false" outlineLevel="0" collapsed="false">
      <c r="A16" s="6" t="s">
        <v>21</v>
      </c>
      <c r="B16" s="3" t="n">
        <v>885</v>
      </c>
      <c r="C16" s="3" t="n">
        <v>1770</v>
      </c>
      <c r="D16" s="3" t="n">
        <v>3540</v>
      </c>
      <c r="E16" s="3" t="n">
        <v>7080</v>
      </c>
      <c r="F16" s="3" t="n">
        <v>14160</v>
      </c>
      <c r="G16" s="3" t="n">
        <v>28320</v>
      </c>
      <c r="H16" s="3" t="n">
        <v>56640</v>
      </c>
      <c r="I16" s="3" t="n">
        <v>113280</v>
      </c>
      <c r="J16" s="3" t="n">
        <v>226560</v>
      </c>
    </row>
    <row r="17" customFormat="false" ht="15" hidden="false" customHeight="false" outlineLevel="0" collapsed="false">
      <c r="A17" s="6" t="s">
        <v>22</v>
      </c>
      <c r="B17" s="3" t="n">
        <v>295</v>
      </c>
      <c r="C17" s="3" t="n">
        <v>590</v>
      </c>
      <c r="D17" s="3" t="n">
        <v>1180</v>
      </c>
      <c r="E17" s="3" t="n">
        <v>2360</v>
      </c>
      <c r="F17" s="3" t="n">
        <v>4720</v>
      </c>
      <c r="G17" s="3" t="n">
        <v>9440</v>
      </c>
      <c r="H17" s="3" t="n">
        <v>18880</v>
      </c>
      <c r="I17" s="3" t="n">
        <v>37760</v>
      </c>
      <c r="J17" s="3" t="n">
        <v>75520</v>
      </c>
    </row>
    <row r="18" customFormat="false" ht="15" hidden="false" customHeight="false" outlineLevel="0" collapsed="false">
      <c r="A18" s="6" t="s">
        <v>23</v>
      </c>
      <c r="B18" s="3" t="n">
        <v>2331</v>
      </c>
      <c r="C18" s="3" t="n">
        <v>4662</v>
      </c>
      <c r="D18" s="3" t="n">
        <v>9324</v>
      </c>
      <c r="E18" s="3" t="n">
        <v>18648</v>
      </c>
      <c r="F18" s="3" t="n">
        <v>37296</v>
      </c>
      <c r="G18" s="3" t="n">
        <v>74592</v>
      </c>
      <c r="H18" s="3" t="n">
        <v>149184</v>
      </c>
      <c r="I18" s="3" t="n">
        <v>298368</v>
      </c>
      <c r="J18" s="3" t="n">
        <v>596736</v>
      </c>
    </row>
    <row r="19" customFormat="false" ht="15" hidden="false" customHeight="false" outlineLevel="0" collapsed="false">
      <c r="A19" s="6" t="s">
        <v>24</v>
      </c>
      <c r="B19" s="3" t="n">
        <v>54</v>
      </c>
      <c r="C19" s="3" t="n">
        <v>54</v>
      </c>
      <c r="D19" s="3" t="n">
        <v>56</v>
      </c>
      <c r="E19" s="3" t="n">
        <v>54</v>
      </c>
      <c r="F19" s="3" t="n">
        <v>123</v>
      </c>
      <c r="G19" s="3" t="n">
        <v>395</v>
      </c>
      <c r="H19" s="3" t="n">
        <v>1580</v>
      </c>
      <c r="I19" s="3" t="n">
        <v>6320</v>
      </c>
      <c r="J19" s="3" t="n">
        <v>25280</v>
      </c>
    </row>
    <row r="20" customFormat="false" ht="15" hidden="false" customHeight="false" outlineLevel="0" collapsed="false">
      <c r="A20" s="6" t="s">
        <v>25</v>
      </c>
      <c r="B20" s="3" t="n">
        <v>54</v>
      </c>
      <c r="C20" s="3" t="n">
        <v>55</v>
      </c>
      <c r="D20" s="3" t="n">
        <v>55</v>
      </c>
      <c r="E20" s="3" t="n">
        <v>54</v>
      </c>
      <c r="F20" s="3" t="n">
        <v>123</v>
      </c>
      <c r="G20" s="3" t="n">
        <v>328</v>
      </c>
      <c r="H20" s="3" t="n">
        <v>1312</v>
      </c>
      <c r="I20" s="3" t="n">
        <v>5248</v>
      </c>
      <c r="J20" s="3" t="n">
        <v>20992</v>
      </c>
    </row>
    <row r="21" customFormat="false" ht="15" hidden="false" customHeight="false" outlineLevel="0" collapsed="false">
      <c r="A21" s="6" t="s">
        <v>26</v>
      </c>
      <c r="B21" s="3" t="n">
        <v>78</v>
      </c>
      <c r="C21" s="3" t="n">
        <v>108</v>
      </c>
      <c r="D21" s="3" t="n">
        <v>216</v>
      </c>
      <c r="E21" s="3" t="n">
        <v>429</v>
      </c>
      <c r="F21" s="3" t="n">
        <v>855</v>
      </c>
      <c r="G21" s="3" t="n">
        <v>1713</v>
      </c>
      <c r="H21" s="3" t="n">
        <v>3525</v>
      </c>
      <c r="I21" s="3" t="n">
        <v>7050</v>
      </c>
      <c r="J21" s="3" t="n">
        <v>14100</v>
      </c>
    </row>
    <row r="22" customFormat="false" ht="15" hidden="false" customHeight="false" outlineLevel="0" collapsed="false">
      <c r="A22" s="6" t="s">
        <v>27</v>
      </c>
      <c r="B22" s="3" t="n">
        <v>26</v>
      </c>
      <c r="C22" s="3" t="n">
        <v>36</v>
      </c>
      <c r="D22" s="3" t="n">
        <v>72</v>
      </c>
      <c r="E22" s="3" t="n">
        <v>143</v>
      </c>
      <c r="F22" s="3" t="n">
        <v>285</v>
      </c>
      <c r="G22" s="3" t="n">
        <v>571</v>
      </c>
      <c r="H22" s="3" t="n">
        <v>1175</v>
      </c>
      <c r="I22" s="3" t="n">
        <v>2350</v>
      </c>
      <c r="J22" s="3" t="n">
        <v>4700</v>
      </c>
    </row>
    <row r="23" customFormat="false" ht="15" hidden="false" customHeight="false" outlineLevel="0" collapsed="false">
      <c r="A23" s="6" t="s">
        <v>28</v>
      </c>
      <c r="B23" s="3" t="n">
        <v>204</v>
      </c>
      <c r="C23" s="3" t="n">
        <v>291</v>
      </c>
      <c r="D23" s="3" t="n">
        <v>576</v>
      </c>
      <c r="E23" s="3" t="n">
        <v>1149</v>
      </c>
      <c r="F23" s="3" t="n">
        <v>2301</v>
      </c>
      <c r="G23" s="3" t="n">
        <v>4680</v>
      </c>
      <c r="H23" s="3" t="n">
        <v>9369</v>
      </c>
      <c r="I23" s="3" t="n">
        <v>18720</v>
      </c>
      <c r="J23" s="3" t="n">
        <v>38400</v>
      </c>
    </row>
    <row r="24" customFormat="false" ht="15" hidden="false" customHeight="false" outlineLevel="0" collapsed="false">
      <c r="A24" s="6" t="s">
        <v>29</v>
      </c>
      <c r="B24" s="3" t="n">
        <v>325</v>
      </c>
      <c r="C24" s="3" t="n">
        <v>768</v>
      </c>
      <c r="D24" s="3" t="n">
        <v>2127</v>
      </c>
      <c r="E24" s="3" t="n">
        <v>6553</v>
      </c>
      <c r="F24" s="3" t="n">
        <v>22137</v>
      </c>
      <c r="G24" s="3" t="n">
        <v>80467</v>
      </c>
      <c r="H24" s="3" t="n">
        <v>305147</v>
      </c>
      <c r="I24" s="3" t="n">
        <v>1187021</v>
      </c>
      <c r="J24" s="3" t="n">
        <v>4629336</v>
      </c>
    </row>
    <row r="25" customFormat="false" ht="15" hidden="false" customHeight="false" outlineLevel="0" collapsed="false">
      <c r="A25" s="6" t="s">
        <v>30</v>
      </c>
      <c r="B25" s="3" t="n">
        <v>1881</v>
      </c>
      <c r="C25" s="3" t="n">
        <v>3727</v>
      </c>
      <c r="D25" s="3" t="n">
        <v>7370</v>
      </c>
      <c r="E25" s="3" t="n">
        <v>14759</v>
      </c>
      <c r="F25" s="3" t="n">
        <v>29225</v>
      </c>
      <c r="G25" s="3" t="n">
        <v>57206</v>
      </c>
      <c r="H25" s="3" t="n">
        <v>114062</v>
      </c>
      <c r="I25" s="3" t="n">
        <v>231731</v>
      </c>
      <c r="J25" s="3" t="n">
        <v>461232</v>
      </c>
    </row>
    <row r="28" customFormat="false" ht="15" hidden="false" customHeight="false" outlineLevel="0" collapsed="false">
      <c r="A28" s="4" t="s">
        <v>31</v>
      </c>
    </row>
    <row r="29" customFormat="false" ht="15" hidden="false" customHeight="false" outlineLevel="0" collapsed="false">
      <c r="A29" s="2"/>
      <c r="B29" s="5" t="s">
        <v>5</v>
      </c>
      <c r="C29" s="5" t="s">
        <v>6</v>
      </c>
      <c r="D29" s="5" t="s">
        <v>7</v>
      </c>
      <c r="E29" s="5" t="s">
        <v>8</v>
      </c>
      <c r="F29" s="5" t="s">
        <v>9</v>
      </c>
      <c r="G29" s="5" t="s">
        <v>10</v>
      </c>
      <c r="H29" s="5" t="s">
        <v>11</v>
      </c>
      <c r="I29" s="5" t="s">
        <v>12</v>
      </c>
      <c r="J29" s="5" t="s">
        <v>13</v>
      </c>
    </row>
    <row r="30" customFormat="false" ht="15" hidden="false" customHeight="false" outlineLevel="0" collapsed="false">
      <c r="A30" s="6" t="s">
        <v>14</v>
      </c>
      <c r="B30" s="3" t="n">
        <v>99</v>
      </c>
      <c r="C30" s="3" t="n">
        <v>102</v>
      </c>
      <c r="D30" s="3" t="n">
        <v>166</v>
      </c>
      <c r="E30" s="3" t="n">
        <v>246</v>
      </c>
      <c r="F30" s="3" t="n">
        <v>460</v>
      </c>
      <c r="G30" s="3" t="n">
        <v>852</v>
      </c>
      <c r="H30" s="3" t="n">
        <v>1584</v>
      </c>
      <c r="I30" s="3" t="n">
        <v>3186</v>
      </c>
      <c r="J30" s="3" t="n">
        <v>6225</v>
      </c>
    </row>
    <row r="31" customFormat="false" ht="15" hidden="false" customHeight="false" outlineLevel="0" collapsed="false">
      <c r="A31" s="6" t="s">
        <v>15</v>
      </c>
      <c r="B31" s="3" t="n">
        <v>95</v>
      </c>
      <c r="C31" s="3" t="n">
        <v>101</v>
      </c>
      <c r="D31" s="3" t="n">
        <v>132</v>
      </c>
      <c r="E31" s="3" t="n">
        <v>234</v>
      </c>
      <c r="F31" s="3" t="n">
        <v>392</v>
      </c>
      <c r="G31" s="3" t="n">
        <v>715</v>
      </c>
      <c r="H31" s="3" t="n">
        <v>1458</v>
      </c>
      <c r="I31" s="3" t="n">
        <v>3008</v>
      </c>
      <c r="J31" s="3" t="n">
        <v>5701</v>
      </c>
    </row>
    <row r="32" customFormat="false" ht="15" hidden="false" customHeight="false" outlineLevel="0" collapsed="false">
      <c r="A32" s="6" t="s">
        <v>19</v>
      </c>
      <c r="B32" s="3" t="n">
        <v>58</v>
      </c>
      <c r="C32" s="3" t="n">
        <v>57</v>
      </c>
      <c r="D32" s="3" t="n">
        <v>59</v>
      </c>
      <c r="E32" s="3" t="n">
        <v>59</v>
      </c>
      <c r="F32" s="3" t="n">
        <v>59</v>
      </c>
      <c r="G32" s="3" t="n">
        <v>92</v>
      </c>
      <c r="H32" s="3" t="n">
        <v>156</v>
      </c>
      <c r="I32" s="3" t="n">
        <v>263</v>
      </c>
      <c r="J32" s="3" t="n">
        <v>466</v>
      </c>
    </row>
    <row r="33" customFormat="false" ht="15" hidden="false" customHeight="false" outlineLevel="0" collapsed="false">
      <c r="A33" s="6" t="s">
        <v>20</v>
      </c>
      <c r="B33" s="3" t="n">
        <v>57</v>
      </c>
      <c r="C33" s="3" t="n">
        <v>58</v>
      </c>
      <c r="D33" s="3" t="n">
        <v>58</v>
      </c>
      <c r="E33" s="3" t="n">
        <v>58</v>
      </c>
      <c r="F33" s="3" t="n">
        <v>58</v>
      </c>
      <c r="G33" s="3" t="n">
        <v>92</v>
      </c>
      <c r="H33" s="3" t="n">
        <v>156</v>
      </c>
      <c r="I33" s="3" t="n">
        <v>230</v>
      </c>
      <c r="J33" s="3" t="n">
        <v>432</v>
      </c>
    </row>
    <row r="34" customFormat="false" ht="15" hidden="false" customHeight="false" outlineLevel="0" collapsed="false">
      <c r="A34" s="6" t="s">
        <v>24</v>
      </c>
      <c r="B34" s="3" t="n">
        <v>54</v>
      </c>
      <c r="C34" s="3" t="n">
        <v>54</v>
      </c>
      <c r="D34" s="3" t="n">
        <v>54</v>
      </c>
      <c r="E34" s="3" t="n">
        <v>54</v>
      </c>
      <c r="F34" s="3" t="n">
        <v>54</v>
      </c>
      <c r="G34" s="3" t="n">
        <v>54</v>
      </c>
      <c r="H34" s="3" t="n">
        <v>55</v>
      </c>
      <c r="I34" s="3" t="n">
        <v>89</v>
      </c>
      <c r="J34" s="3" t="n">
        <v>122</v>
      </c>
    </row>
    <row r="35" customFormat="false" ht="15" hidden="false" customHeight="false" outlineLevel="0" collapsed="false">
      <c r="A35" s="6" t="s">
        <v>25</v>
      </c>
      <c r="B35" s="3" t="n">
        <v>54</v>
      </c>
      <c r="C35" s="3" t="n">
        <v>54</v>
      </c>
      <c r="D35" s="3" t="n">
        <v>54</v>
      </c>
      <c r="E35" s="3" t="n">
        <v>54</v>
      </c>
      <c r="F35" s="3" t="n">
        <v>54</v>
      </c>
      <c r="G35" s="3" t="n">
        <v>54</v>
      </c>
      <c r="H35" s="3" t="n">
        <v>54</v>
      </c>
      <c r="I35" s="3" t="n">
        <v>88</v>
      </c>
      <c r="J35" s="3" t="n">
        <v>88</v>
      </c>
    </row>
    <row r="37" customFormat="false" ht="15" hidden="false" customHeight="false" outlineLevel="0" collapsed="false">
      <c r="A37" s="4" t="s">
        <v>32</v>
      </c>
    </row>
    <row r="38" customFormat="false" ht="15" hidden="false" customHeight="false" outlineLevel="0" collapsed="false">
      <c r="A38" s="2"/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  <c r="G38" s="5" t="s">
        <v>10</v>
      </c>
      <c r="H38" s="5" t="s">
        <v>11</v>
      </c>
      <c r="I38" s="5" t="s">
        <v>12</v>
      </c>
      <c r="J38" s="5" t="s">
        <v>13</v>
      </c>
    </row>
    <row r="39" customFormat="false" ht="15" hidden="false" customHeight="false" outlineLevel="0" collapsed="false">
      <c r="A39" s="6" t="s">
        <v>14</v>
      </c>
      <c r="B39" s="3" t="n">
        <v>792</v>
      </c>
      <c r="C39" s="3" t="n">
        <v>816</v>
      </c>
      <c r="D39" s="3" t="n">
        <v>1328</v>
      </c>
      <c r="E39" s="3" t="n">
        <v>1968</v>
      </c>
      <c r="F39" s="3" t="n">
        <v>3680</v>
      </c>
      <c r="G39" s="3" t="n">
        <v>6816</v>
      </c>
      <c r="H39" s="3" t="n">
        <v>12672</v>
      </c>
      <c r="I39" s="3" t="n">
        <v>25488</v>
      </c>
      <c r="J39" s="3" t="n">
        <v>49800</v>
      </c>
    </row>
    <row r="40" customFormat="false" ht="15" hidden="false" customHeight="false" outlineLevel="0" collapsed="false">
      <c r="A40" s="6" t="s">
        <v>15</v>
      </c>
      <c r="B40" s="3" t="n">
        <v>760</v>
      </c>
      <c r="C40" s="3" t="n">
        <v>808</v>
      </c>
      <c r="D40" s="3" t="n">
        <v>1056</v>
      </c>
      <c r="E40" s="3" t="n">
        <v>1872</v>
      </c>
      <c r="F40" s="3" t="n">
        <v>3136</v>
      </c>
      <c r="G40" s="3" t="n">
        <v>5720</v>
      </c>
      <c r="H40" s="3" t="n">
        <v>11664</v>
      </c>
      <c r="I40" s="3" t="n">
        <v>24064</v>
      </c>
      <c r="J40" s="3" t="n">
        <v>45608</v>
      </c>
    </row>
    <row r="41" customFormat="false" ht="15" hidden="false" customHeight="false" outlineLevel="0" collapsed="false">
      <c r="A41" s="6" t="s">
        <v>19</v>
      </c>
      <c r="B41" s="3" t="n">
        <v>464</v>
      </c>
      <c r="C41" s="3" t="n">
        <v>456</v>
      </c>
      <c r="D41" s="3" t="n">
        <v>472</v>
      </c>
      <c r="E41" s="3" t="n">
        <v>472</v>
      </c>
      <c r="F41" s="3" t="n">
        <v>472</v>
      </c>
      <c r="G41" s="3" t="n">
        <v>736</v>
      </c>
      <c r="H41" s="3" t="n">
        <v>1248</v>
      </c>
      <c r="I41" s="3" t="n">
        <v>2104</v>
      </c>
      <c r="J41" s="3" t="n">
        <v>3728</v>
      </c>
    </row>
    <row r="42" customFormat="false" ht="15" hidden="false" customHeight="false" outlineLevel="0" collapsed="false">
      <c r="A42" s="6" t="s">
        <v>20</v>
      </c>
      <c r="B42" s="3" t="n">
        <v>456</v>
      </c>
      <c r="C42" s="3" t="n">
        <v>464</v>
      </c>
      <c r="D42" s="3" t="n">
        <v>464</v>
      </c>
      <c r="E42" s="3" t="n">
        <v>464</v>
      </c>
      <c r="F42" s="3" t="n">
        <v>464</v>
      </c>
      <c r="G42" s="3" t="n">
        <v>736</v>
      </c>
      <c r="H42" s="3" t="n">
        <v>1248</v>
      </c>
      <c r="I42" s="3" t="n">
        <v>1840</v>
      </c>
      <c r="J42" s="3" t="n">
        <v>3456</v>
      </c>
    </row>
    <row r="43" customFormat="false" ht="15" hidden="false" customHeight="false" outlineLevel="0" collapsed="false">
      <c r="A43" s="6" t="s">
        <v>24</v>
      </c>
      <c r="B43" s="3" t="n">
        <v>445</v>
      </c>
      <c r="C43" s="3" t="n">
        <v>452</v>
      </c>
      <c r="D43" s="3" t="n">
        <v>457</v>
      </c>
      <c r="E43" s="3" t="n">
        <v>476</v>
      </c>
      <c r="F43" s="3" t="n">
        <v>473</v>
      </c>
      <c r="G43" s="3" t="n">
        <v>480</v>
      </c>
      <c r="H43" s="3" t="n">
        <v>476</v>
      </c>
      <c r="I43" s="3" t="n">
        <v>756</v>
      </c>
      <c r="J43" s="3" t="n">
        <v>1028</v>
      </c>
    </row>
    <row r="44" customFormat="false" ht="15" hidden="false" customHeight="false" outlineLevel="0" collapsed="false">
      <c r="A44" s="6" t="s">
        <v>25</v>
      </c>
      <c r="B44" s="3" t="n">
        <v>444</v>
      </c>
      <c r="C44" s="3" t="n">
        <v>446</v>
      </c>
      <c r="D44" s="3" t="n">
        <v>457</v>
      </c>
      <c r="E44" s="3" t="n">
        <v>480</v>
      </c>
      <c r="F44" s="3" t="n">
        <v>472</v>
      </c>
      <c r="G44" s="3" t="n">
        <v>478</v>
      </c>
      <c r="H44" s="3" t="n">
        <v>481</v>
      </c>
      <c r="I44" s="3" t="n">
        <v>750</v>
      </c>
      <c r="J44" s="3" t="n">
        <v>735</v>
      </c>
    </row>
    <row r="46" customFormat="false" ht="15" hidden="false" customHeight="false" outlineLevel="0" collapsed="false">
      <c r="A46" s="4" t="s">
        <v>33</v>
      </c>
    </row>
    <row r="47" customFormat="false" ht="15" hidden="false" customHeight="false" outlineLevel="0" collapsed="false">
      <c r="A47" s="2"/>
      <c r="B47" s="5" t="s">
        <v>5</v>
      </c>
      <c r="C47" s="5" t="s">
        <v>6</v>
      </c>
      <c r="D47" s="5" t="s">
        <v>7</v>
      </c>
      <c r="E47" s="5" t="s">
        <v>8</v>
      </c>
      <c r="F47" s="5" t="s">
        <v>9</v>
      </c>
      <c r="G47" s="5" t="s">
        <v>10</v>
      </c>
      <c r="H47" s="5" t="s">
        <v>11</v>
      </c>
      <c r="I47" s="5" t="s">
        <v>12</v>
      </c>
      <c r="J47" s="5" t="s">
        <v>13</v>
      </c>
    </row>
    <row r="48" customFormat="false" ht="15" hidden="false" customHeight="false" outlineLevel="0" collapsed="false">
      <c r="A48" s="6" t="s">
        <v>14</v>
      </c>
      <c r="B48" s="3" t="n">
        <v>6336</v>
      </c>
      <c r="C48" s="3" t="n">
        <v>6528</v>
      </c>
      <c r="D48" s="3" t="n">
        <v>10624</v>
      </c>
      <c r="E48" s="3" t="n">
        <v>15744</v>
      </c>
      <c r="F48" s="3" t="n">
        <v>29440</v>
      </c>
      <c r="G48" s="3" t="n">
        <v>54528</v>
      </c>
      <c r="H48" s="3" t="n">
        <v>101376</v>
      </c>
      <c r="I48" s="3" t="n">
        <v>203904</v>
      </c>
      <c r="J48" s="3" t="n">
        <v>398400</v>
      </c>
    </row>
    <row r="49" customFormat="false" ht="15" hidden="false" customHeight="false" outlineLevel="0" collapsed="false">
      <c r="A49" s="6" t="s">
        <v>15</v>
      </c>
      <c r="B49" s="3" t="n">
        <v>6080</v>
      </c>
      <c r="C49" s="3" t="n">
        <v>6464</v>
      </c>
      <c r="D49" s="3" t="n">
        <v>8448</v>
      </c>
      <c r="E49" s="3" t="n">
        <v>14976</v>
      </c>
      <c r="F49" s="3" t="n">
        <v>25088</v>
      </c>
      <c r="G49" s="3" t="n">
        <v>45760</v>
      </c>
      <c r="H49" s="3" t="n">
        <v>93312</v>
      </c>
      <c r="I49" s="3" t="n">
        <v>192512</v>
      </c>
      <c r="J49" s="3" t="n">
        <v>364864</v>
      </c>
    </row>
    <row r="50" customFormat="false" ht="15" hidden="false" customHeight="false" outlineLevel="0" collapsed="false">
      <c r="A50" s="6" t="s">
        <v>19</v>
      </c>
      <c r="B50" s="3" t="n">
        <v>3712</v>
      </c>
      <c r="C50" s="3" t="n">
        <v>3648</v>
      </c>
      <c r="D50" s="3" t="n">
        <v>3776</v>
      </c>
      <c r="E50" s="3" t="n">
        <v>3776</v>
      </c>
      <c r="F50" s="3" t="n">
        <v>3776</v>
      </c>
      <c r="G50" s="3" t="n">
        <v>5888</v>
      </c>
      <c r="H50" s="3" t="n">
        <v>9984</v>
      </c>
      <c r="I50" s="3" t="n">
        <v>16832</v>
      </c>
      <c r="J50" s="3" t="n">
        <v>29824</v>
      </c>
    </row>
    <row r="51" customFormat="false" ht="15" hidden="false" customHeight="false" outlineLevel="0" collapsed="false">
      <c r="A51" s="6" t="s">
        <v>20</v>
      </c>
      <c r="B51" s="3" t="n">
        <v>3648</v>
      </c>
      <c r="C51" s="3" t="n">
        <v>3712</v>
      </c>
      <c r="D51" s="3" t="n">
        <v>3712</v>
      </c>
      <c r="E51" s="3" t="n">
        <v>3712</v>
      </c>
      <c r="F51" s="3" t="n">
        <v>3712</v>
      </c>
      <c r="G51" s="3" t="n">
        <v>5888</v>
      </c>
      <c r="H51" s="3" t="n">
        <v>9984</v>
      </c>
      <c r="I51" s="3" t="n">
        <v>14720</v>
      </c>
      <c r="J51" s="3" t="n">
        <v>27648</v>
      </c>
    </row>
    <row r="52" customFormat="false" ht="15" hidden="false" customHeight="false" outlineLevel="0" collapsed="false">
      <c r="A52" s="6" t="s">
        <v>24</v>
      </c>
      <c r="B52" s="3" t="n">
        <v>3560</v>
      </c>
      <c r="C52" s="3" t="n">
        <v>3616</v>
      </c>
      <c r="D52" s="3" t="n">
        <v>3656</v>
      </c>
      <c r="E52" s="3" t="n">
        <v>3808</v>
      </c>
      <c r="F52" s="3" t="n">
        <v>3784</v>
      </c>
      <c r="G52" s="3" t="n">
        <v>3840</v>
      </c>
      <c r="H52" s="3" t="n">
        <v>3808</v>
      </c>
      <c r="I52" s="3" t="n">
        <v>6048</v>
      </c>
      <c r="J52" s="3" t="n">
        <v>8224</v>
      </c>
    </row>
    <row r="53" customFormat="false" ht="15" hidden="false" customHeight="false" outlineLevel="0" collapsed="false">
      <c r="A53" s="6" t="s">
        <v>25</v>
      </c>
      <c r="B53" s="3" t="n">
        <v>3552</v>
      </c>
      <c r="C53" s="3" t="n">
        <v>3568</v>
      </c>
      <c r="D53" s="3" t="n">
        <v>3656</v>
      </c>
      <c r="E53" s="3" t="n">
        <v>3840</v>
      </c>
      <c r="F53" s="3" t="n">
        <v>3776</v>
      </c>
      <c r="G53" s="3" t="n">
        <v>3824</v>
      </c>
      <c r="H53" s="3" t="n">
        <v>3848</v>
      </c>
      <c r="I53" s="3" t="n">
        <v>6000</v>
      </c>
      <c r="J53" s="3" t="n">
        <v>5880</v>
      </c>
    </row>
    <row r="55" customFormat="false" ht="15" hidden="false" customHeight="false" outlineLevel="0" collapsed="false">
      <c r="A55" s="4" t="s">
        <v>34</v>
      </c>
    </row>
    <row r="56" customFormat="false" ht="15" hidden="false" customHeight="false" outlineLevel="0" collapsed="false">
      <c r="A56" s="7" t="s">
        <v>35</v>
      </c>
      <c r="B56" s="7" t="s">
        <v>36</v>
      </c>
      <c r="C56" s="7" t="s">
        <v>37</v>
      </c>
      <c r="D56" s="7" t="s">
        <v>38</v>
      </c>
      <c r="E56" s="7" t="s">
        <v>39</v>
      </c>
    </row>
    <row r="57" customFormat="false" ht="15" hidden="false" customHeight="false" outlineLevel="0" collapsed="false">
      <c r="A57" s="6" t="s">
        <v>40</v>
      </c>
      <c r="B57" s="3" t="n">
        <v>1</v>
      </c>
      <c r="C57" s="3" t="n">
        <v>4668</v>
      </c>
      <c r="D57" s="3" t="n">
        <v>1556</v>
      </c>
      <c r="E57" s="3" t="n">
        <v>12406</v>
      </c>
    </row>
    <row r="58" customFormat="false" ht="15" hidden="false" customHeight="false" outlineLevel="0" collapsed="false">
      <c r="A58" s="6" t="s">
        <v>40</v>
      </c>
      <c r="B58" s="3" t="n">
        <v>8</v>
      </c>
      <c r="C58" s="3" t="n">
        <v>4668</v>
      </c>
      <c r="D58" s="3" t="n">
        <v>1556</v>
      </c>
      <c r="E58" s="3" t="n">
        <v>12406</v>
      </c>
    </row>
    <row r="59" customFormat="false" ht="15" hidden="false" customHeight="false" outlineLevel="0" collapsed="false">
      <c r="A59" s="6" t="s">
        <v>40</v>
      </c>
      <c r="B59" s="3" t="n">
        <v>64</v>
      </c>
      <c r="C59" s="3" t="n">
        <v>37344</v>
      </c>
      <c r="D59" s="3" t="n">
        <v>12448</v>
      </c>
      <c r="E59" s="3" t="n">
        <v>99248</v>
      </c>
    </row>
    <row r="60" customFormat="false" ht="15" hidden="false" customHeight="false" outlineLevel="0" collapsed="false">
      <c r="A60" s="6" t="s">
        <v>41</v>
      </c>
      <c r="B60" s="3" t="n">
        <v>1</v>
      </c>
      <c r="C60" s="3" t="n">
        <v>126</v>
      </c>
      <c r="D60" s="3" t="n">
        <v>42</v>
      </c>
      <c r="E60" s="3" t="n">
        <v>327</v>
      </c>
    </row>
    <row r="61" customFormat="false" ht="15" hidden="false" customHeight="false" outlineLevel="0" collapsed="false">
      <c r="A61" s="6" t="s">
        <v>41</v>
      </c>
      <c r="B61" s="3" t="n">
        <v>8</v>
      </c>
      <c r="C61" s="3" t="n">
        <v>126</v>
      </c>
      <c r="D61" s="3" t="n">
        <v>42</v>
      </c>
      <c r="E61" s="3" t="n">
        <v>327</v>
      </c>
    </row>
    <row r="62" customFormat="false" ht="15" hidden="false" customHeight="false" outlineLevel="0" collapsed="false">
      <c r="A62" s="6" t="s">
        <v>41</v>
      </c>
      <c r="B62" s="3" t="n">
        <v>64</v>
      </c>
      <c r="C62" s="3" t="n">
        <v>252</v>
      </c>
      <c r="D62" s="3" t="n">
        <v>84</v>
      </c>
      <c r="E62" s="3" t="n">
        <v>654</v>
      </c>
    </row>
    <row r="63" customFormat="false" ht="15" hidden="false" customHeight="false" outlineLevel="0" collapsed="false">
      <c r="A63" s="6" t="s">
        <v>42</v>
      </c>
      <c r="B63" s="3" t="n">
        <v>1</v>
      </c>
      <c r="C63" s="3" t="n">
        <v>48</v>
      </c>
      <c r="D63" s="3" t="n">
        <v>16</v>
      </c>
      <c r="E63" s="3" t="n">
        <v>129</v>
      </c>
    </row>
    <row r="64" customFormat="false" ht="15" hidden="false" customHeight="false" outlineLevel="0" collapsed="false">
      <c r="A64" s="6" t="s">
        <v>42</v>
      </c>
      <c r="B64" s="3" t="n">
        <v>8</v>
      </c>
      <c r="C64" s="3" t="n">
        <v>50</v>
      </c>
      <c r="D64" s="3" t="n">
        <v>16.67</v>
      </c>
      <c r="E64" s="3" t="n">
        <v>130.2</v>
      </c>
    </row>
    <row r="65" customFormat="false" ht="15" hidden="false" customHeight="false" outlineLevel="0" collapsed="false">
      <c r="A65" s="6" t="s">
        <v>42</v>
      </c>
      <c r="B65" s="3" t="n">
        <v>64</v>
      </c>
      <c r="C65" s="3" t="n">
        <v>78</v>
      </c>
      <c r="D65" s="3" t="n">
        <v>26</v>
      </c>
      <c r="E65" s="3" t="n">
        <v>207</v>
      </c>
    </row>
    <row r="67" customFormat="false" ht="15" hidden="false" customHeight="false" outlineLevel="0" collapsed="false">
      <c r="A67" s="4" t="s">
        <v>43</v>
      </c>
    </row>
    <row r="68" customFormat="false" ht="15" hidden="false" customHeight="false" outlineLevel="0" collapsed="false">
      <c r="A68" s="2"/>
      <c r="B68" s="5" t="s">
        <v>5</v>
      </c>
      <c r="C68" s="5" t="s">
        <v>6</v>
      </c>
      <c r="D68" s="5" t="s">
        <v>7</v>
      </c>
      <c r="E68" s="5" t="s">
        <v>8</v>
      </c>
      <c r="F68" s="5" t="s">
        <v>9</v>
      </c>
      <c r="G68" s="5" t="s">
        <v>10</v>
      </c>
      <c r="H68" s="5" t="s">
        <v>11</v>
      </c>
      <c r="I68" s="5" t="s">
        <v>12</v>
      </c>
      <c r="J68" s="5" t="s">
        <v>13</v>
      </c>
    </row>
    <row r="69" customFormat="false" ht="15" hidden="false" customHeight="false" outlineLevel="0" collapsed="false">
      <c r="A69" s="6" t="s">
        <v>29</v>
      </c>
      <c r="B69" s="3" t="n">
        <v>7</v>
      </c>
      <c r="C69" s="3" t="n">
        <v>7</v>
      </c>
      <c r="D69" s="3" t="n">
        <v>10</v>
      </c>
      <c r="E69" s="3" t="n">
        <v>14</v>
      </c>
      <c r="F69" s="3" t="n">
        <v>22</v>
      </c>
      <c r="G69" s="3" t="n">
        <v>41</v>
      </c>
      <c r="H69" s="3" t="n">
        <v>76</v>
      </c>
      <c r="I69" s="3" t="n">
        <v>146</v>
      </c>
      <c r="J69" s="3" t="n">
        <v>286</v>
      </c>
    </row>
    <row r="70" customFormat="false" ht="15" hidden="false" customHeight="false" outlineLevel="0" collapsed="false">
      <c r="A70" s="6" t="s">
        <v>30</v>
      </c>
      <c r="B70" s="3" t="n">
        <v>40.2</v>
      </c>
      <c r="C70" s="3" t="n">
        <v>40.2</v>
      </c>
      <c r="D70" s="3" t="n">
        <v>40.2</v>
      </c>
      <c r="E70" s="3" t="n">
        <v>40.2</v>
      </c>
      <c r="F70" s="3" t="n">
        <v>40.2</v>
      </c>
      <c r="G70" s="3" t="n">
        <v>40.2</v>
      </c>
      <c r="H70" s="3" t="n">
        <v>40.2</v>
      </c>
      <c r="I70" s="3" t="n">
        <v>40.2</v>
      </c>
      <c r="J70" s="3" t="n">
        <v>40.2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</row>
    <row r="4" customFormat="false" ht="15" hidden="false" customHeight="false" outlineLevel="0" collapsed="false">
      <c r="A4" s="2" t="s">
        <v>8</v>
      </c>
      <c r="B4" s="8" t="n">
        <f aca="false">RawData!$E$9/RawData!$B$3+RawData!$E$10/RawData!$B$3+RawData!$E$11/RawData!$B$3+RawData!$E$12/RawData!$B$3+RawData!$E$13/RawData!$B$3+(RawData!$E$24+RawData!$E$25)/RawData!$B$5</f>
        <v>114326.331697743</v>
      </c>
      <c r="C4" s="8" t="n">
        <f aca="false">RawData!$E$9/RawData!$B$3+RawData!$E$10/RawData!$B$3+RawData!$E$16+RawData!$E$17+RawData!$E$18+(RawData!$E$24+RawData!$E$25)/RawData!$B$5</f>
        <v>35584.105986261</v>
      </c>
      <c r="D4" s="8" t="n">
        <f aca="false">RawData!$E$14+RawData!$E$15+RawData!$E$16+RawData!$E$17+RawData!$E$18+(RawData!$E$24+RawData!$E$25)/RawData!$B$5</f>
        <v>34387</v>
      </c>
      <c r="E4" s="8" t="n">
        <f aca="false">RawData!$E$19+RawData!$E$20+RawData!$E$21+RawData!$E$22+RawData!$E$23+(RawData!$E$24+RawData!$E$25)/RawData!$B$5</f>
        <v>7157</v>
      </c>
      <c r="F4" s="8" t="n">
        <f aca="false">RawData!$E$9/RawData!$B$4+RawData!$E$10/RawData!$B$4+RawData!$E$11/RawData!$B$4+RawData!$E$12/RawData!$B$4+RawData!$E$13/RawData!$B$4+(RawData!$E$24+RawData!$E$25)/RawData!$B$5</f>
        <v>334910.492581602</v>
      </c>
      <c r="G4" s="8" t="n">
        <f aca="false">RawData!$E$9/RawData!$B$4+RawData!$E$10/RawData!$B$4+RawData!$E$16+RawData!$E$17+RawData!$E$18+(RawData!$E$24+RawData!$E$25)/RawData!$B$5</f>
        <v>39971.7863501484</v>
      </c>
      <c r="H4" s="8" t="n">
        <f aca="false">RawData!$E$14+RawData!$E$15+RawData!$E$16+RawData!$E$17+RawData!$E$18+(RawData!$E$24+RawData!$E$25)/RawData!$B$5</f>
        <v>34387</v>
      </c>
      <c r="I4" s="8" t="n">
        <f aca="false">RawData!$E$19+RawData!$E$20+RawData!$E$21+RawData!$E$22+RawData!$E$23+(RawData!$E$24+RawData!$E$25)/RawData!$B$5</f>
        <v>7157</v>
      </c>
      <c r="J4" s="9" t="n">
        <f aca="false">B4/B4</f>
        <v>1</v>
      </c>
      <c r="K4" s="9" t="n">
        <f aca="false">B4/C4</f>
        <v>3.21284822335804</v>
      </c>
      <c r="L4" s="9" t="n">
        <f aca="false">B4/D4</f>
        <v>3.32469630086204</v>
      </c>
      <c r="M4" s="9" t="n">
        <f aca="false">B4/E4</f>
        <v>15.9740578032336</v>
      </c>
      <c r="N4" s="9" t="n">
        <f aca="false">F4/F4</f>
        <v>1</v>
      </c>
      <c r="O4" s="9" t="n">
        <f aca="false">F4/G4</f>
        <v>8.37867213758785</v>
      </c>
      <c r="P4" s="9" t="n">
        <f aca="false">F4/H4</f>
        <v>9.73945073957026</v>
      </c>
      <c r="Q4" s="9" t="n">
        <f aca="false">F4/I4</f>
        <v>46.7948152272743</v>
      </c>
    </row>
    <row r="5" customFormat="false" ht="15" hidden="false" customHeight="false" outlineLevel="0" collapsed="false">
      <c r="A5" s="2" t="s">
        <v>9</v>
      </c>
      <c r="B5" s="8" t="n">
        <f aca="false">RawData!$F$9/RawData!$B$3+RawData!$F$10/RawData!$B$3+RawData!$F$11/RawData!$B$3+RawData!$F$12/RawData!$B$3+RawData!$F$13/RawData!$B$3+(RawData!$F$24+RawData!$F$25)/RawData!$B$5</f>
        <v>235091.039744848</v>
      </c>
      <c r="C5" s="8" t="n">
        <f aca="false">RawData!$F$9/RawData!$B$3+RawData!$F$10/RawData!$B$3+RawData!$F$16+RawData!$F$17+RawData!$F$18+(RawData!$F$24+RawData!$F$25)/RawData!$B$5</f>
        <v>77606.5883218842</v>
      </c>
      <c r="D5" s="8" t="n">
        <f aca="false">RawData!$F$14+RawData!$F$15+RawData!$F$16+RawData!$F$17+RawData!$F$18+(RawData!$F$24+RawData!$F$25)/RawData!$B$5</f>
        <v>72319.5</v>
      </c>
      <c r="E5" s="8" t="n">
        <f aca="false">RawData!$F$19+RawData!$F$20+RawData!$F$21+RawData!$F$22+RawData!$F$23+(RawData!$F$24+RawData!$F$25)/RawData!$B$5</f>
        <v>16527.5</v>
      </c>
      <c r="F5" s="8" t="n">
        <f aca="false">RawData!$F$9/RawData!$B$4+RawData!$F$10/RawData!$B$4+RawData!$F$11/RawData!$B$4+RawData!$F$12/RawData!$B$4+RawData!$F$13/RawData!$B$4+(RawData!$F$24+RawData!$F$25)/RawData!$B$5</f>
        <v>684868.096439169</v>
      </c>
      <c r="G5" s="8" t="n">
        <f aca="false">RawData!$F$9/RawData!$B$4+RawData!$F$10/RawData!$B$4+RawData!$F$16+RawData!$F$17+RawData!$F$18+(RawData!$F$24+RawData!$F$25)/RawData!$B$5</f>
        <v>94990.6839762611</v>
      </c>
      <c r="H5" s="8" t="n">
        <f aca="false">RawData!$F$14+RawData!$F$15+RawData!$F$16+RawData!$F$17+RawData!$F$18+(RawData!$F$24+RawData!$F$25)/RawData!$B$5</f>
        <v>72319.5</v>
      </c>
      <c r="I5" s="8" t="n">
        <f aca="false">RawData!$F$19+RawData!$F$20+RawData!$F$21+RawData!$F$22+RawData!$F$23+(RawData!$F$24+RawData!$F$25)/RawData!$B$5</f>
        <v>16527.5</v>
      </c>
      <c r="J5" s="9" t="n">
        <f aca="false">B5/B5</f>
        <v>1</v>
      </c>
      <c r="K5" s="9" t="n">
        <f aca="false">B5/C5</f>
        <v>3.0292665201281</v>
      </c>
      <c r="L5" s="9" t="n">
        <f aca="false">B5/D5</f>
        <v>3.25072822329867</v>
      </c>
      <c r="M5" s="9" t="n">
        <f aca="false">B5/E5</f>
        <v>14.22423474481</v>
      </c>
      <c r="N5" s="9" t="n">
        <f aca="false">F5/F5</f>
        <v>1</v>
      </c>
      <c r="O5" s="9" t="n">
        <f aca="false">F5/G5</f>
        <v>7.20984487921282</v>
      </c>
      <c r="P5" s="9" t="n">
        <f aca="false">F5/H5</f>
        <v>9.47003362079618</v>
      </c>
      <c r="Q5" s="9" t="n">
        <f aca="false">F5/I5</f>
        <v>41.438093870166</v>
      </c>
    </row>
    <row r="6" customFormat="false" ht="15" hidden="false" customHeight="false" outlineLevel="0" collapsed="false">
      <c r="A6" s="2" t="s">
        <v>10</v>
      </c>
      <c r="B6" s="8" t="n">
        <f aca="false">RawData!$G$9/RawData!$B$3+RawData!$G$10/RawData!$B$3+RawData!$G$11/RawData!$B$3+RawData!$G$12/RawData!$B$3+RawData!$G$13/RawData!$B$3+(RawData!$G$24+RawData!$G$25)/RawData!$B$5</f>
        <v>494985.080225712</v>
      </c>
      <c r="C6" s="8" t="n">
        <f aca="false">RawData!$G$9/RawData!$B$3+RawData!$G$10/RawData!$B$3+RawData!$G$16+RawData!$G$17+RawData!$G$18+(RawData!$G$24+RawData!$G$25)/RawData!$B$5</f>
        <v>180016.177379784</v>
      </c>
      <c r="D6" s="8" t="n">
        <f aca="false">RawData!$G$14+RawData!$G$15+RawData!$G$16+RawData!$G$17+RawData!$G$18+(RawData!$G$24+RawData!$G$25)/RawData!$B$5</f>
        <v>159621.25</v>
      </c>
      <c r="E6" s="8" t="n">
        <f aca="false">RawData!$G$19+RawData!$G$20+RawData!$G$21+RawData!$G$22+RawData!$G$23+(RawData!$G$24+RawData!$G$25)/RawData!$B$5</f>
        <v>42105.25</v>
      </c>
      <c r="F6" s="8" t="n">
        <f aca="false">RawData!$G$9/RawData!$B$4+RawData!$G$10/RawData!$B$4+RawData!$G$11/RawData!$B$4+RawData!$G$12/RawData!$B$4+RawData!$G$13/RawData!$B$4+(RawData!$G$24+RawData!$G$25)/RawData!$B$5</f>
        <v>1427052.07789318</v>
      </c>
      <c r="G6" s="8" t="n">
        <f aca="false">RawData!$G$9/RawData!$B$4+RawData!$G$10/RawData!$B$4+RawData!$G$16+RawData!$G$17+RawData!$G$18+(RawData!$G$24+RawData!$G$25)/RawData!$B$5</f>
        <v>247297.252967359</v>
      </c>
      <c r="H6" s="8" t="n">
        <f aca="false">RawData!$G$14+RawData!$G$15+RawData!$G$16+RawData!$G$17+RawData!$G$18+(RawData!$G$24+RawData!$G$25)/RawData!$B$5</f>
        <v>159621.25</v>
      </c>
      <c r="I6" s="8" t="n">
        <f aca="false">RawData!$G$19+RawData!$G$20+RawData!$G$21+RawData!$G$22+RawData!$G$23+(RawData!$G$24+RawData!$G$25)/RawData!$B$5</f>
        <v>42105.25</v>
      </c>
      <c r="J6" s="9" t="n">
        <f aca="false">B6/B6</f>
        <v>1</v>
      </c>
      <c r="K6" s="9" t="n">
        <f aca="false">B6/C6</f>
        <v>2.74966998761134</v>
      </c>
      <c r="L6" s="9" t="n">
        <f aca="false">B6/D6</f>
        <v>3.10099739367855</v>
      </c>
      <c r="M6" s="9" t="n">
        <f aca="false">B6/E6</f>
        <v>11.7558993290792</v>
      </c>
      <c r="N6" s="9" t="n">
        <f aca="false">F6/F6</f>
        <v>1</v>
      </c>
      <c r="O6" s="9" t="n">
        <f aca="false">F6/G6</f>
        <v>5.7705941362864</v>
      </c>
      <c r="P6" s="9" t="n">
        <f aca="false">F6/H6</f>
        <v>8.94023870814929</v>
      </c>
      <c r="Q6" s="9" t="n">
        <f aca="false">F6/I6</f>
        <v>33.8924974413684</v>
      </c>
    </row>
    <row r="7" customFormat="false" ht="15" hidden="false" customHeight="false" outlineLevel="0" collapsed="false">
      <c r="A7" s="2" t="s">
        <v>11</v>
      </c>
      <c r="B7" s="8" t="n">
        <f aca="false">RawData!$H$9/RawData!$B$3+RawData!$H$10/RawData!$B$3+RawData!$H$11/RawData!$B$3+RawData!$H$12/RawData!$B$3+RawData!$H$13/RawData!$B$3+(RawData!$H$24+RawData!$H$25)/RawData!$B$5</f>
        <v>1102878.79563297</v>
      </c>
      <c r="C7" s="8" t="n">
        <f aca="false">RawData!$H$9/RawData!$B$3+RawData!$H$10/RawData!$B$3+RawData!$H$16+RawData!$H$17+RawData!$H$18+(RawData!$H$24+RawData!$H$25)/RawData!$B$5</f>
        <v>472940.989941119</v>
      </c>
      <c r="D7" s="8" t="n">
        <f aca="false">RawData!$H$14+RawData!$H$15+RawData!$H$16+RawData!$H$17+RawData!$H$18+(RawData!$H$24+RawData!$H$25)/RawData!$B$5</f>
        <v>380906.25</v>
      </c>
      <c r="E7" s="8" t="n">
        <f aca="false">RawData!$H$19+RawData!$H$20+RawData!$H$21+RawData!$H$22+RawData!$H$23+(RawData!$H$24+RawData!$H$25)/RawData!$B$5</f>
        <v>121763.25</v>
      </c>
      <c r="F7" s="8" t="n">
        <f aca="false">RawData!$H$9/RawData!$B$4+RawData!$H$10/RawData!$B$4+RawData!$H$11/RawData!$B$4+RawData!$H$12/RawData!$B$4+RawData!$H$13/RawData!$B$4+(RawData!$H$24+RawData!$H$25)/RawData!$B$5</f>
        <v>3122725.09866469</v>
      </c>
      <c r="G7" s="8" t="n">
        <f aca="false">RawData!$H$9/RawData!$B$4+RawData!$H$10/RawData!$B$4+RawData!$H$16+RawData!$H$17+RawData!$H$18+(RawData!$H$24+RawData!$H$25)/RawData!$B$5</f>
        <v>763215.448813056</v>
      </c>
      <c r="H7" s="8" t="n">
        <f aca="false">RawData!$H$14+RawData!$H$15+RawData!$H$16+RawData!$H$17+RawData!$H$18+(RawData!$H$24+RawData!$H$25)/RawData!$B$5</f>
        <v>380906.25</v>
      </c>
      <c r="I7" s="8" t="n">
        <f aca="false">RawData!$H$19+RawData!$H$20+RawData!$H$21+RawData!$H$22+RawData!$H$23+(RawData!$H$24+RawData!$H$25)/RawData!$B$5</f>
        <v>121763.25</v>
      </c>
      <c r="J7" s="9" t="n">
        <f aca="false">B7/B7</f>
        <v>1</v>
      </c>
      <c r="K7" s="9" t="n">
        <f aca="false">B7/C7</f>
        <v>2.33195857218949</v>
      </c>
      <c r="L7" s="9" t="n">
        <f aca="false">B7/D7</f>
        <v>2.89540745428297</v>
      </c>
      <c r="M7" s="9" t="n">
        <f aca="false">B7/E7</f>
        <v>9.05756700509368</v>
      </c>
      <c r="N7" s="9" t="n">
        <f aca="false">F7/F7</f>
        <v>1</v>
      </c>
      <c r="O7" s="9" t="n">
        <f aca="false">F7/G7</f>
        <v>4.09153811485487</v>
      </c>
      <c r="P7" s="9" t="n">
        <f aca="false">F7/H7</f>
        <v>8.19814612825253</v>
      </c>
      <c r="Q7" s="9" t="n">
        <f aca="false">F7/I7</f>
        <v>25.6458750786029</v>
      </c>
    </row>
    <row r="8" customFormat="false" ht="15" hidden="false" customHeight="false" outlineLevel="0" collapsed="false">
      <c r="A8" s="2" t="s">
        <v>12</v>
      </c>
      <c r="B8" s="8" t="n">
        <f aca="false">RawData!$I$9/RawData!$B$3+RawData!$I$10/RawData!$B$3+RawData!$I$11/RawData!$B$3+RawData!$I$12/RawData!$B$3+RawData!$I$13/RawData!$B$3+(RawData!$I$24+RawData!$I$25)/RawData!$B$5</f>
        <v>2623363.171737</v>
      </c>
      <c r="C8" s="8" t="n">
        <f aca="false">RawData!$I$9/RawData!$B$3+RawData!$I$10/RawData!$B$3+RawData!$I$16+RawData!$I$17+RawData!$I$18+(RawData!$I$24+RawData!$I$25)/RawData!$B$5</f>
        <v>1363487.56035329</v>
      </c>
      <c r="D8" s="8" t="n">
        <f aca="false">RawData!$I$14+RawData!$I$15+RawData!$I$16+RawData!$I$17+RawData!$I$18+(RawData!$I$24+RawData!$I$25)/RawData!$B$5</f>
        <v>1009696</v>
      </c>
      <c r="E8" s="8" t="n">
        <f aca="false">RawData!$I$19+RawData!$I$20+RawData!$I$21+RawData!$I$22+RawData!$I$23+(RawData!$I$24+RawData!$I$25)/RawData!$B$5</f>
        <v>394376</v>
      </c>
      <c r="F8" s="8" t="n">
        <f aca="false">RawData!$I$9/RawData!$B$4+RawData!$I$10/RawData!$B$4+RawData!$I$11/RawData!$B$4+RawData!$I$12/RawData!$B$4+RawData!$I$13/RawData!$B$4+(RawData!$I$24+RawData!$I$25)/RawData!$B$5</f>
        <v>7214569.30563798</v>
      </c>
      <c r="G8" s="8" t="n">
        <f aca="false">RawData!$I$9/RawData!$B$4+RawData!$I$10/RawData!$B$4+RawData!$I$16+RawData!$I$17+RawData!$I$18+(RawData!$I$24+RawData!$I$25)/RawData!$B$5</f>
        <v>2495550.00593472</v>
      </c>
      <c r="H8" s="8" t="n">
        <f aca="false">RawData!$I$14+RawData!$I$15+RawData!$I$16+RawData!$I$17+RawData!$I$18+(RawData!$I$24+RawData!$I$25)/RawData!$B$5</f>
        <v>1009696</v>
      </c>
      <c r="I8" s="8" t="n">
        <f aca="false">RawData!$I$19+RawData!$I$20+RawData!$I$21+RawData!$I$22+RawData!$I$23+(RawData!$I$24+RawData!$I$25)/RawData!$B$5</f>
        <v>394376</v>
      </c>
      <c r="J8" s="9" t="n">
        <f aca="false">B8/B8</f>
        <v>1</v>
      </c>
      <c r="K8" s="9" t="n">
        <f aca="false">B8/C8</f>
        <v>1.92400961183487</v>
      </c>
      <c r="L8" s="9" t="n">
        <f aca="false">B8/D8</f>
        <v>2.59817130278519</v>
      </c>
      <c r="M8" s="9" t="n">
        <f aca="false">B8/E8</f>
        <v>6.65193412311347</v>
      </c>
      <c r="N8" s="9" t="n">
        <f aca="false">F8/F8</f>
        <v>1</v>
      </c>
      <c r="O8" s="9" t="n">
        <f aca="false">F8/G8</f>
        <v>2.89097364848665</v>
      </c>
      <c r="P8" s="9" t="n">
        <f aca="false">F8/H8</f>
        <v>7.14528858749364</v>
      </c>
      <c r="Q8" s="9" t="n">
        <f aca="false">F8/I8</f>
        <v>18.2936317261648</v>
      </c>
    </row>
    <row r="9" customFormat="false" ht="15" hidden="false" customHeight="false" outlineLevel="0" collapsed="false">
      <c r="A9" s="2" t="s">
        <v>13</v>
      </c>
      <c r="B9" s="8" t="n">
        <f aca="false">RawData!$J$9/RawData!$B$3+RawData!$J$10/RawData!$B$3+RawData!$J$11/RawData!$B$3+RawData!$J$12/RawData!$B$3+RawData!$J$13/RawData!$B$3+(RawData!$J$24+RawData!$J$25)/RawData!$B$5</f>
        <v>6928775.46418057</v>
      </c>
      <c r="C9" s="8" t="n">
        <f aca="false">RawData!$J$9/RawData!$B$3+RawData!$J$10/RawData!$B$3+RawData!$J$16+RawData!$J$17+RawData!$J$18+(RawData!$J$24+RawData!$J$25)/RawData!$B$5</f>
        <v>4409024.24141315</v>
      </c>
      <c r="D9" s="8" t="n">
        <f aca="false">RawData!$J$14+RawData!$J$15+RawData!$J$16+RawData!$J$17+RawData!$J$18+(RawData!$J$24+RawData!$J$25)/RawData!$B$5</f>
        <v>2989761</v>
      </c>
      <c r="E9" s="8" t="n">
        <f aca="false">RawData!$J$19+RawData!$J$20+RawData!$J$21+RawData!$J$22+RawData!$J$23+(RawData!$J$24+RawData!$J$25)/RawData!$B$5</f>
        <v>1376114</v>
      </c>
      <c r="F9" s="8" t="n">
        <f aca="false">RawData!$J$9/RawData!$B$4+RawData!$J$10/RawData!$B$4+RawData!$J$11/RawData!$B$4+RawData!$J$12/RawData!$B$4+RawData!$J$13/RawData!$B$4+(RawData!$J$24+RawData!$J$25)/RawData!$B$5</f>
        <v>18375312.6231454</v>
      </c>
      <c r="G9" s="8" t="n">
        <f aca="false">RawData!$J$9/RawData!$B$4+RawData!$J$10/RawData!$B$4+RawData!$J$16+RawData!$J$17+RawData!$J$18+(RawData!$J$24+RawData!$J$25)/RawData!$B$5</f>
        <v>8937274.02373887</v>
      </c>
      <c r="H9" s="8" t="n">
        <f aca="false">RawData!$J$14+RawData!$J$15+RawData!$J$16+RawData!$J$17+RawData!$J$18+(RawData!$J$24+RawData!$J$25)/RawData!$B$5</f>
        <v>2989761</v>
      </c>
      <c r="I9" s="8" t="n">
        <f aca="false">RawData!$J$19+RawData!$J$20+RawData!$J$21+RawData!$J$22+RawData!$J$23+(RawData!$J$24+RawData!$J$25)/RawData!$B$5</f>
        <v>1376114</v>
      </c>
      <c r="J9" s="9" t="n">
        <f aca="false">B9/B9</f>
        <v>1</v>
      </c>
      <c r="K9" s="9" t="n">
        <f aca="false">B9/C9</f>
        <v>1.57149860939749</v>
      </c>
      <c r="L9" s="9" t="n">
        <f aca="false">B9/D9</f>
        <v>2.31750145385553</v>
      </c>
      <c r="M9" s="9" t="n">
        <f aca="false">B9/E9</f>
        <v>5.03503013862265</v>
      </c>
      <c r="N9" s="9" t="n">
        <f aca="false">F9/F9</f>
        <v>1</v>
      </c>
      <c r="O9" s="9" t="n">
        <f aca="false">F9/G9</f>
        <v>2.05603101956341</v>
      </c>
      <c r="P9" s="9" t="n">
        <f aca="false">F9/H9</f>
        <v>6.14608078142213</v>
      </c>
      <c r="Q9" s="9" t="n">
        <f aca="false">F9/I9</f>
        <v>13.3530453313791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</row>
    <row r="4" customFormat="false" ht="15" hidden="false" customHeight="false" outlineLevel="0" collapsed="false">
      <c r="A4" s="2" t="s">
        <v>8</v>
      </c>
      <c r="B4" s="8" t="n">
        <f aca="false">(RawData!$E$30+RawData!$E$31+(RawData!$C$57+RawData!$D$57+RawData!$E$57))/RawData!$B$3+(RawData!$E$69+RawData!$E$70)*1/RawData!$B$5</f>
        <v>1888.91800785083</v>
      </c>
      <c r="C4" s="8" t="n">
        <f aca="false">(RawData!$E$30+RawData!$E$31)/RawData!$B$3+(RawData!$C$60+RawData!$D$60+RawData!$E$60)+(RawData!$E$69+RawData!$E$70)*1/RawData!$B$5</f>
        <v>555.655004906771</v>
      </c>
      <c r="D4" s="8" t="n">
        <f aca="false">RawData!$E$32+RawData!$E$33+(RawData!$C$60+RawData!$D$60+RawData!$E$60)+(RawData!$E$69+RawData!$E$70)*1/RawData!$B$5</f>
        <v>625.55</v>
      </c>
      <c r="E4" s="8" t="n">
        <f aca="false">RawData!$E$34+RawData!$E$35+(RawData!$C$63+RawData!$D$63+RawData!$E$63)+(RawData!$E$69+RawData!$E$70)*1/RawData!$B$5</f>
        <v>314.55</v>
      </c>
      <c r="F4" s="8" t="n">
        <f aca="false">(RawData!$E$30+RawData!$E$31+(RawData!$C$57+RawData!$D$57+RawData!$E$57))/RawData!$B$4+(RawData!$E$69+RawData!$E$70)*1/RawData!$B$5</f>
        <v>5684.17314540059</v>
      </c>
      <c r="G4" s="8" t="n">
        <f aca="false">(RawData!$E$30+RawData!$E$31)/RawData!$B$4+(RawData!$C$60+RawData!$D$60+RawData!$E$60)+(RawData!$E$69+RawData!$E$70)*1/RawData!$B$5</f>
        <v>650.983234421365</v>
      </c>
      <c r="H4" s="8" t="n">
        <f aca="false">RawData!$E$32+RawData!$E$33+(RawData!$C$60+RawData!$D$60+RawData!$E$60)+(RawData!$E$69+RawData!$E$70)*1/RawData!$B$5</f>
        <v>625.55</v>
      </c>
      <c r="I4" s="8" t="n">
        <f aca="false">RawData!$E$34+RawData!$E$35+(RawData!$C$63+RawData!$D$63+RawData!$E$63)+(RawData!$E$69+RawData!$E$70)*1/RawData!$B$5</f>
        <v>314.55</v>
      </c>
      <c r="J4" s="9" t="n">
        <f aca="false">B4/B4</f>
        <v>1</v>
      </c>
      <c r="K4" s="9" t="n">
        <f aca="false">B4/C4</f>
        <v>3.3994438836518</v>
      </c>
      <c r="L4" s="9" t="n">
        <f aca="false">B4/D4</f>
        <v>3.01961155439347</v>
      </c>
      <c r="M4" s="9" t="n">
        <f aca="false">B4/E4</f>
        <v>6.00514388126159</v>
      </c>
      <c r="N4" s="9" t="n">
        <f aca="false">F4/F4</f>
        <v>1</v>
      </c>
      <c r="O4" s="9" t="n">
        <f aca="false">F4/G4</f>
        <v>8.73167363588564</v>
      </c>
      <c r="P4" s="9" t="n">
        <f aca="false">F4/H4</f>
        <v>9.0866807535778</v>
      </c>
      <c r="Q4" s="9" t="n">
        <f aca="false">F4/I4</f>
        <v>18.0708095546037</v>
      </c>
    </row>
    <row r="5" customFormat="false" ht="15" hidden="false" customHeight="false" outlineLevel="0" collapsed="false">
      <c r="A5" s="2" t="s">
        <v>9</v>
      </c>
      <c r="B5" s="8" t="n">
        <f aca="false">(RawData!$F$30+RawData!$F$31+(RawData!$C$57+RawData!$D$57+RawData!$E$57))/RawData!$B$3+(RawData!$F$69+RawData!$F$70)*1/RawData!$B$5</f>
        <v>1927.42438665358</v>
      </c>
      <c r="C5" s="8" t="n">
        <f aca="false">(RawData!$F$30+RawData!$F$31)/RawData!$B$3+(RawData!$C$60+RawData!$D$60+RawData!$E$60)+(RawData!$F$69+RawData!$F$70)*1/RawData!$B$5</f>
        <v>594.161383709519</v>
      </c>
      <c r="D5" s="8" t="n">
        <f aca="false">RawData!$F$32+RawData!$F$33+(RawData!$C$60+RawData!$D$60+RawData!$E$60)+(RawData!$F$69+RawData!$F$70)*1/RawData!$B$5</f>
        <v>627.55</v>
      </c>
      <c r="E5" s="8" t="n">
        <f aca="false">RawData!$F$34+RawData!$F$35+(RawData!$C$63+RawData!$D$63+RawData!$E$63)+(RawData!$F$69+RawData!$F$70)*1/RawData!$B$5</f>
        <v>316.55</v>
      </c>
      <c r="F5" s="8" t="n">
        <f aca="false">(RawData!$F$30+RawData!$F$31+(RawData!$C$57+RawData!$D$57+RawData!$E$57))/RawData!$B$4+(RawData!$F$69+RawData!$F$70)*1/RawData!$B$5</f>
        <v>5796.55890207715</v>
      </c>
      <c r="G5" s="8" t="n">
        <f aca="false">(RawData!$F$30+RawData!$F$31)/RawData!$B$4+(RawData!$C$60+RawData!$D$60+RawData!$E$60)+(RawData!$F$69+RawData!$F$70)*1/RawData!$B$5</f>
        <v>763.368991097923</v>
      </c>
      <c r="H5" s="8" t="n">
        <f aca="false">RawData!$F$32+RawData!$F$33+(RawData!$C$60+RawData!$D$60+RawData!$E$60)+(RawData!$F$69+RawData!$F$70)*1/RawData!$B$5</f>
        <v>627.55</v>
      </c>
      <c r="I5" s="8" t="n">
        <f aca="false">RawData!$F$34+RawData!$F$35+(RawData!$C$63+RawData!$D$63+RawData!$E$63)+(RawData!$F$69+RawData!$F$70)*1/RawData!$B$5</f>
        <v>316.55</v>
      </c>
      <c r="J5" s="9" t="n">
        <f aca="false">B5/B5</f>
        <v>1</v>
      </c>
      <c r="K5" s="9" t="n">
        <f aca="false">B5/C5</f>
        <v>3.24394085428461</v>
      </c>
      <c r="L5" s="9" t="n">
        <f aca="false">B5/D5</f>
        <v>3.07134791913566</v>
      </c>
      <c r="M5" s="9" t="n">
        <f aca="false">B5/E5</f>
        <v>6.08884658554283</v>
      </c>
      <c r="N5" s="9" t="n">
        <f aca="false">F5/F5</f>
        <v>1</v>
      </c>
      <c r="O5" s="9" t="n">
        <f aca="false">F5/G5</f>
        <v>7.59339057477328</v>
      </c>
      <c r="P5" s="9" t="n">
        <f aca="false">F5/H5</f>
        <v>9.23680806641248</v>
      </c>
      <c r="Q5" s="9" t="n">
        <f aca="false">F5/I5</f>
        <v>18.3116692531264</v>
      </c>
    </row>
    <row r="6" customFormat="false" ht="15" hidden="false" customHeight="false" outlineLevel="0" collapsed="false">
      <c r="A6" s="2" t="s">
        <v>10</v>
      </c>
      <c r="B6" s="8" t="n">
        <f aca="false">(RawData!$G$30+RawData!$G$31+(RawData!$C$57+RawData!$D$57+RawData!$E$57))/RawData!$B$3+(RawData!$G$69+RawData!$G$70)*1/RawData!$B$5</f>
        <v>2002.34121687929</v>
      </c>
      <c r="C6" s="8" t="n">
        <f aca="false">(RawData!$G$30+RawData!$G$31)/RawData!$B$3+(RawData!$C$60+RawData!$D$60+RawData!$E$60)+(RawData!$G$69+RawData!$G$70)*1/RawData!$B$5</f>
        <v>669.078213935231</v>
      </c>
      <c r="D6" s="8" t="n">
        <f aca="false">RawData!$G$32+RawData!$G$33+(RawData!$C$60+RawData!$D$60+RawData!$E$60)+(RawData!$G$69+RawData!$G$70)*1/RawData!$B$5</f>
        <v>699.3</v>
      </c>
      <c r="E6" s="8" t="n">
        <f aca="false">RawData!$G$34+RawData!$G$35+(RawData!$C$63+RawData!$D$63+RawData!$E$63)+(RawData!$G$69+RawData!$G$70)*1/RawData!$B$5</f>
        <v>321.3</v>
      </c>
      <c r="F6" s="8" t="n">
        <f aca="false">(RawData!$G$30+RawData!$G$31+(RawData!$C$57+RawData!$D$57+RawData!$E$57))/RawData!$B$4+(RawData!$G$69+RawData!$G$70)*1/RawData!$B$5</f>
        <v>6013.47507418398</v>
      </c>
      <c r="G6" s="8" t="n">
        <f aca="false">(RawData!$G$30+RawData!$G$31)/RawData!$B$4+(RawData!$C$60+RawData!$D$60+RawData!$E$60)+(RawData!$G$69+RawData!$G$70)*1/RawData!$B$5</f>
        <v>980.285163204748</v>
      </c>
      <c r="H6" s="8" t="n">
        <f aca="false">RawData!$G$32+RawData!$G$33+(RawData!$C$60+RawData!$D$60+RawData!$E$60)+(RawData!$G$69+RawData!$G$70)*1/RawData!$B$5</f>
        <v>699.3</v>
      </c>
      <c r="I6" s="8" t="n">
        <f aca="false">RawData!$G$34+RawData!$G$35+(RawData!$C$63+RawData!$D$63+RawData!$E$63)+(RawData!$G$69+RawData!$G$70)*1/RawData!$B$5</f>
        <v>321.3</v>
      </c>
      <c r="J6" s="9" t="n">
        <f aca="false">B6/B6</f>
        <v>1</v>
      </c>
      <c r="K6" s="9" t="n">
        <f aca="false">B6/C6</f>
        <v>2.99268631854321</v>
      </c>
      <c r="L6" s="9" t="n">
        <f aca="false">B6/D6</f>
        <v>2.86335080348819</v>
      </c>
      <c r="M6" s="9" t="n">
        <f aca="false">B6/E6</f>
        <v>6.23199880759195</v>
      </c>
      <c r="N6" s="9" t="n">
        <f aca="false">F6/F6</f>
        <v>1</v>
      </c>
      <c r="O6" s="9" t="n">
        <f aca="false">F6/G6</f>
        <v>6.13441404593407</v>
      </c>
      <c r="P6" s="9" t="n">
        <f aca="false">F6/H6</f>
        <v>8.59927795536104</v>
      </c>
      <c r="Q6" s="9" t="n">
        <f aca="false">F6/I6</f>
        <v>18.7160755499034</v>
      </c>
    </row>
    <row r="7" customFormat="false" ht="15" hidden="false" customHeight="false" outlineLevel="0" collapsed="false">
      <c r="A7" s="2" t="s">
        <v>11</v>
      </c>
      <c r="B7" s="8" t="n">
        <f aca="false">(RawData!$H$30+RawData!$H$31+(RawData!$C$57+RawData!$D$57+RawData!$E$57))/RawData!$B$3+(RawData!$H$69+RawData!$H$70)*1/RawData!$B$5</f>
        <v>2155.84097154073</v>
      </c>
      <c r="C7" s="8" t="n">
        <f aca="false">(RawData!$H$30+RawData!$H$31)/RawData!$B$3+(RawData!$C$60+RawData!$D$60+RawData!$E$60)+(RawData!$H$69+RawData!$H$70)*1/RawData!$B$5</f>
        <v>822.577968596663</v>
      </c>
      <c r="D7" s="8" t="n">
        <f aca="false">RawData!$H$32+RawData!$H$33+(RawData!$C$60+RawData!$D$60+RawData!$E$60)+(RawData!$H$69+RawData!$H$70)*1/RawData!$B$5</f>
        <v>836.05</v>
      </c>
      <c r="E7" s="8" t="n">
        <f aca="false">RawData!$H$34+RawData!$H$35+(RawData!$C$63+RawData!$D$63+RawData!$E$63)+(RawData!$H$69+RawData!$H$70)*1/RawData!$B$5</f>
        <v>331.05</v>
      </c>
      <c r="F7" s="8" t="n">
        <f aca="false">(RawData!$H$30+RawData!$H$31+(RawData!$C$57+RawData!$D$57+RawData!$E$57))/RawData!$B$4+(RawData!$H$69+RawData!$H$70)*1/RawData!$B$5</f>
        <v>6459.91053412463</v>
      </c>
      <c r="G7" s="8" t="n">
        <f aca="false">(RawData!$H$30+RawData!$H$31)/RawData!$B$4+(RawData!$C$60+RawData!$D$60+RawData!$E$60)+(RawData!$H$69+RawData!$H$70)*1/RawData!$B$5</f>
        <v>1426.7206231454</v>
      </c>
      <c r="H7" s="8" t="n">
        <f aca="false">RawData!$H$32+RawData!$H$33+(RawData!$C$60+RawData!$D$60+RawData!$E$60)+(RawData!$H$69+RawData!$H$70)*1/RawData!$B$5</f>
        <v>836.05</v>
      </c>
      <c r="I7" s="8" t="n">
        <f aca="false">RawData!$H$34+RawData!$H$35+(RawData!$C$63+RawData!$D$63+RawData!$E$63)+(RawData!$H$69+RawData!$H$70)*1/RawData!$B$5</f>
        <v>331.05</v>
      </c>
      <c r="J7" s="9" t="n">
        <f aca="false">B7/B7</f>
        <v>1</v>
      </c>
      <c r="K7" s="9" t="n">
        <f aca="false">B7/C7</f>
        <v>2.62083480696503</v>
      </c>
      <c r="L7" s="9" t="n">
        <f aca="false">B7/D7</f>
        <v>2.5786029203286</v>
      </c>
      <c r="M7" s="9" t="n">
        <f aca="false">B7/E7</f>
        <v>6.51213101205476</v>
      </c>
      <c r="N7" s="9" t="n">
        <f aca="false">F7/F7</f>
        <v>1</v>
      </c>
      <c r="O7" s="9" t="n">
        <f aca="false">F7/G7</f>
        <v>4.52780343209932</v>
      </c>
      <c r="P7" s="9" t="n">
        <f aca="false">F7/H7</f>
        <v>7.7267035872551</v>
      </c>
      <c r="Q7" s="9" t="n">
        <f aca="false">F7/I7</f>
        <v>19.5133983812857</v>
      </c>
    </row>
    <row r="8" customFormat="false" ht="15" hidden="false" customHeight="false" outlineLevel="0" collapsed="false">
      <c r="A8" s="2" t="s">
        <v>12</v>
      </c>
      <c r="B8" s="8" t="n">
        <f aca="false">(RawData!$I$30+RawData!$I$31+(RawData!$C$57+RawData!$D$57+RawData!$E$57))/RawData!$B$3+(RawData!$I$69+RawData!$I$70)*1/RawData!$B$5</f>
        <v>2482.66383709519</v>
      </c>
      <c r="C8" s="8" t="n">
        <f aca="false">(RawData!$I$30+RawData!$I$31)/RawData!$B$3+(RawData!$C$60+RawData!$D$60+RawData!$E$60)+(RawData!$I$69+RawData!$I$70)*1/RawData!$B$5</f>
        <v>1149.40083415113</v>
      </c>
      <c r="D8" s="8" t="n">
        <f aca="false">RawData!$I$32+RawData!$I$33+(RawData!$C$60+RawData!$D$60+RawData!$E$60)+(RawData!$I$69+RawData!$I$70)*1/RawData!$B$5</f>
        <v>1034.55</v>
      </c>
      <c r="E8" s="8" t="n">
        <f aca="false">RawData!$I$34+RawData!$I$35+(RawData!$C$63+RawData!$D$63+RawData!$E$63)+(RawData!$I$69+RawData!$I$70)*1/RawData!$B$5</f>
        <v>416.55</v>
      </c>
      <c r="F8" s="8" t="n">
        <f aca="false">(RawData!$I$30+RawData!$I$31+(RawData!$C$57+RawData!$D$57+RawData!$E$57))/RawData!$B$4+(RawData!$I$69+RawData!$I$70)*1/RawData!$B$5</f>
        <v>7412.72210682493</v>
      </c>
      <c r="G8" s="8" t="n">
        <f aca="false">(RawData!$I$30+RawData!$I$31)/RawData!$B$4+(RawData!$C$60+RawData!$D$60+RawData!$E$60)+(RawData!$I$69+RawData!$I$70)*1/RawData!$B$5</f>
        <v>2379.5321958457</v>
      </c>
      <c r="H8" s="8" t="n">
        <f aca="false">RawData!$I$32+RawData!$I$33+(RawData!$C$60+RawData!$D$60+RawData!$E$60)+(RawData!$I$69+RawData!$I$70)*1/RawData!$B$5</f>
        <v>1034.55</v>
      </c>
      <c r="I8" s="8" t="n">
        <f aca="false">RawData!$I$34+RawData!$I$35+(RawData!$C$63+RawData!$D$63+RawData!$E$63)+(RawData!$I$69+RawData!$I$70)*1/RawData!$B$5</f>
        <v>416.55</v>
      </c>
      <c r="J8" s="9" t="n">
        <f aca="false">B8/B8</f>
        <v>1</v>
      </c>
      <c r="K8" s="9" t="n">
        <f aca="false">B8/C8</f>
        <v>2.15996348995929</v>
      </c>
      <c r="L8" s="9" t="n">
        <f aca="false">B8/D8</f>
        <v>2.39975239195321</v>
      </c>
      <c r="M8" s="9" t="n">
        <f aca="false">B8/E8</f>
        <v>5.96006202639585</v>
      </c>
      <c r="N8" s="9" t="n">
        <f aca="false">F8/F8</f>
        <v>1</v>
      </c>
      <c r="O8" s="9" t="n">
        <f aca="false">F8/G8</f>
        <v>3.11520143319196</v>
      </c>
      <c r="P8" s="9" t="n">
        <f aca="false">F8/H8</f>
        <v>7.16516563416454</v>
      </c>
      <c r="Q8" s="9" t="n">
        <f aca="false">F8/I8</f>
        <v>17.795515800804</v>
      </c>
    </row>
    <row r="9" customFormat="false" ht="15" hidden="false" customHeight="false" outlineLevel="0" collapsed="false">
      <c r="A9" s="2" t="s">
        <v>13</v>
      </c>
      <c r="B9" s="8" t="n">
        <f aca="false">(RawData!$J$30+RawData!$J$31+(RawData!$C$57+RawData!$D$57+RawData!$E$57))/RawData!$B$3+(RawData!$J$69+RawData!$J$70)*1/RawData!$B$5</f>
        <v>3080.17610402355</v>
      </c>
      <c r="C9" s="8" t="n">
        <f aca="false">(RawData!$J$30+RawData!$J$31)/RawData!$B$3+(RawData!$C$60+RawData!$D$60+RawData!$E$60)+(RawData!$J$69+RawData!$J$70)*1/RawData!$B$5</f>
        <v>1746.91310107949</v>
      </c>
      <c r="D9" s="8" t="n">
        <f aca="false">RawData!$J$32+RawData!$J$33+(RawData!$C$60+RawData!$D$60+RawData!$E$60)+(RawData!$J$69+RawData!$J$70)*1/RawData!$B$5</f>
        <v>1474.55</v>
      </c>
      <c r="E9" s="8" t="n">
        <f aca="false">RawData!$J$34+RawData!$J$35+(RawData!$C$63+RawData!$D$63+RawData!$E$63)+(RawData!$J$69+RawData!$J$70)*1/RawData!$B$5</f>
        <v>484.55</v>
      </c>
      <c r="F9" s="8" t="n">
        <f aca="false">(RawData!$J$30+RawData!$J$31+(RawData!$C$57+RawData!$D$57+RawData!$E$57))/RawData!$B$4+(RawData!$J$69+RawData!$J$70)*1/RawData!$B$5</f>
        <v>9148.61231454006</v>
      </c>
      <c r="G9" s="8" t="n">
        <f aca="false">(RawData!$J$30+RawData!$J$31)/RawData!$B$4+(RawData!$C$60+RawData!$D$60+RawData!$E$60)+(RawData!$J$69+RawData!$J$70)*1/RawData!$B$5</f>
        <v>4115.42240356083</v>
      </c>
      <c r="H9" s="8" t="n">
        <f aca="false">RawData!$J$32+RawData!$J$33+(RawData!$C$60+RawData!$D$60+RawData!$E$60)+(RawData!$J$69+RawData!$J$70)*1/RawData!$B$5</f>
        <v>1474.55</v>
      </c>
      <c r="I9" s="8" t="n">
        <f aca="false">RawData!$J$34+RawData!$J$35+(RawData!$C$63+RawData!$D$63+RawData!$E$63)+(RawData!$J$69+RawData!$J$70)*1/RawData!$B$5</f>
        <v>484.55</v>
      </c>
      <c r="J9" s="9" t="n">
        <f aca="false">B9/B9</f>
        <v>1</v>
      </c>
      <c r="K9" s="9" t="n">
        <f aca="false">B9/C9</f>
        <v>1.76321083293736</v>
      </c>
      <c r="L9" s="9" t="n">
        <f aca="false">B9/D9</f>
        <v>2.08889227494731</v>
      </c>
      <c r="M9" s="9" t="n">
        <f aca="false">B9/E9</f>
        <v>6.35677660514612</v>
      </c>
      <c r="N9" s="9" t="n">
        <f aca="false">F9/F9</f>
        <v>1</v>
      </c>
      <c r="O9" s="9" t="n">
        <f aca="false">F9/G9</f>
        <v>2.22300687934835</v>
      </c>
      <c r="P9" s="9" t="n">
        <f aca="false">F9/H9</f>
        <v>6.20434187687095</v>
      </c>
      <c r="Q9" s="9" t="n">
        <f aca="false">F9/I9</f>
        <v>18.8806362904552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</row>
    <row r="4" customFormat="false" ht="15" hidden="false" customHeight="false" outlineLevel="0" collapsed="false">
      <c r="A4" s="2" t="s">
        <v>8</v>
      </c>
      <c r="B4" s="8" t="n">
        <f aca="false">(RawData!$E$39+RawData!$E$40+(RawData!$C$58+RawData!$D$58+RawData!$E$58))/RawData!$B$3+(RawData!$E$69+RawData!$E$70)*8/RawData!$B$5</f>
        <v>2313.50304219823</v>
      </c>
      <c r="C4" s="8" t="n">
        <f aca="false">(RawData!$E$39+RawData!$E$40)/RawData!$B$3+(RawData!$C$61+RawData!$D$61+RawData!$E$61)+(RawData!$E$69+RawData!$E$70)*8/RawData!$B$5</f>
        <v>980.240039254171</v>
      </c>
      <c r="D4" s="8" t="n">
        <f aca="false">RawData!$E$41+RawData!$E$42+(RawData!$C$61+RawData!$D$61+RawData!$E$61)+(RawData!$E$69+RawData!$E$70)*8/RawData!$B$5</f>
        <v>1539.4</v>
      </c>
      <c r="E4" s="8" t="n">
        <f aca="false">RawData!$E$43+RawData!$E$44+(RawData!$C$64+RawData!$D$64+RawData!$E$64)+(RawData!$E$69+RawData!$E$70)*8/RawData!$B$5</f>
        <v>1261.27</v>
      </c>
      <c r="F4" s="8" t="n">
        <f aca="false">(RawData!$E$39+RawData!$E$40+(RawData!$C$58+RawData!$D$58+RawData!$E$58))/RawData!$B$4+(RawData!$E$69+RawData!$E$70)*8/RawData!$B$5</f>
        <v>6776.05578635015</v>
      </c>
      <c r="G4" s="8" t="n">
        <f aca="false">(RawData!$E$39+RawData!$E$40)/RawData!$B$4+(RawData!$C$61+RawData!$D$61+RawData!$E$61)+(RawData!$E$69+RawData!$E$70)*8/RawData!$B$5</f>
        <v>1742.86587537092</v>
      </c>
      <c r="H4" s="8" t="n">
        <f aca="false">RawData!$E$41+RawData!$E$42+(RawData!$C$61+RawData!$D$61+RawData!$E$61)+(RawData!$E$69+RawData!$E$70)*8/RawData!$B$5</f>
        <v>1539.4</v>
      </c>
      <c r="I4" s="8" t="n">
        <f aca="false">RawData!$E$43+RawData!$E$44+(RawData!$C$64+RawData!$D$64+RawData!$E$64)+(RawData!$E$69+RawData!$E$70)*8/RawData!$B$5</f>
        <v>1261.27</v>
      </c>
      <c r="J4" s="9" t="n">
        <f aca="false">B4/B4</f>
        <v>1</v>
      </c>
      <c r="K4" s="9" t="n">
        <f aca="false">B4/C4</f>
        <v>2.36013930216368</v>
      </c>
      <c r="L4" s="9" t="n">
        <f aca="false">B4/D4</f>
        <v>1.50286023268691</v>
      </c>
      <c r="M4" s="9" t="n">
        <f aca="false">B4/E4</f>
        <v>1.83426470319458</v>
      </c>
      <c r="N4" s="9" t="n">
        <f aca="false">F4/F4</f>
        <v>1</v>
      </c>
      <c r="O4" s="9" t="n">
        <f aca="false">F4/G4</f>
        <v>3.88788138095139</v>
      </c>
      <c r="P4" s="9" t="n">
        <f aca="false">F4/H4</f>
        <v>4.40175119289993</v>
      </c>
      <c r="Q4" s="9" t="n">
        <f aca="false">F4/I4</f>
        <v>5.37240700750049</v>
      </c>
    </row>
    <row r="5" customFormat="false" ht="15" hidden="false" customHeight="false" outlineLevel="0" collapsed="false">
      <c r="A5" s="2" t="s">
        <v>9</v>
      </c>
      <c r="B5" s="8" t="n">
        <f aca="false">(RawData!$F$39+RawData!$F$40+(RawData!$C$58+RawData!$D$58+RawData!$E$58))/RawData!$B$3+(RawData!$F$69+RawData!$F$70)*8/RawData!$B$5</f>
        <v>2621.55407262022</v>
      </c>
      <c r="C5" s="8" t="n">
        <f aca="false">(RawData!$F$39+RawData!$F$40)/RawData!$B$3+(RawData!$C$61+RawData!$D$61+RawData!$E$61)+(RawData!$F$69+RawData!$F$70)*8/RawData!$B$5</f>
        <v>1288.29106967615</v>
      </c>
      <c r="D5" s="8" t="n">
        <f aca="false">RawData!$F$41+RawData!$F$42+(RawData!$C$61+RawData!$D$61+RawData!$E$61)+(RawData!$F$69+RawData!$F$70)*8/RawData!$B$5</f>
        <v>1555.4</v>
      </c>
      <c r="E5" s="8" t="n">
        <f aca="false">RawData!$F$43+RawData!$F$44+(RawData!$C$64+RawData!$D$64+RawData!$E$64)+(RawData!$F$69+RawData!$F$70)*8/RawData!$B$5</f>
        <v>1266.27</v>
      </c>
      <c r="F5" s="8" t="n">
        <f aca="false">(RawData!$F$39+RawData!$F$40+(RawData!$C$58+RawData!$D$58+RawData!$E$58))/RawData!$B$4+(RawData!$F$69+RawData!$F$70)*8/RawData!$B$5</f>
        <v>7675.14183976261</v>
      </c>
      <c r="G5" s="8" t="n">
        <f aca="false">(RawData!$F$39+RawData!$F$40)/RawData!$B$4+(RawData!$C$61+RawData!$D$61+RawData!$E$61)+(RawData!$F$69+RawData!$F$70)*8/RawData!$B$5</f>
        <v>2641.95192878338</v>
      </c>
      <c r="H5" s="8" t="n">
        <f aca="false">RawData!$F$41+RawData!$F$42+(RawData!$C$61+RawData!$D$61+RawData!$E$61)+(RawData!$F$69+RawData!$F$70)*8/RawData!$B$5</f>
        <v>1555.4</v>
      </c>
      <c r="I5" s="8" t="n">
        <f aca="false">RawData!$F$43+RawData!$F$44+(RawData!$C$64+RawData!$D$64+RawData!$E$64)+(RawData!$F$69+RawData!$F$70)*8/RawData!$B$5</f>
        <v>1266.27</v>
      </c>
      <c r="J5" s="9" t="n">
        <f aca="false">B5/B5</f>
        <v>1</v>
      </c>
      <c r="K5" s="9" t="n">
        <f aca="false">B5/C5</f>
        <v>2.0349082084992</v>
      </c>
      <c r="L5" s="9" t="n">
        <f aca="false">B5/D5</f>
        <v>1.68545330630077</v>
      </c>
      <c r="M5" s="9" t="n">
        <f aca="false">B5/E5</f>
        <v>2.07029628169365</v>
      </c>
      <c r="N5" s="9" t="n">
        <f aca="false">F5/F5</f>
        <v>1</v>
      </c>
      <c r="O5" s="9" t="n">
        <f aca="false">F5/G5</f>
        <v>2.90510275987384</v>
      </c>
      <c r="P5" s="9" t="n">
        <f aca="false">F5/H5</f>
        <v>4.93451320545365</v>
      </c>
      <c r="Q5" s="9" t="n">
        <f aca="false">F5/I5</f>
        <v>6.06122062416594</v>
      </c>
    </row>
    <row r="6" customFormat="false" ht="15" hidden="false" customHeight="false" outlineLevel="0" collapsed="false">
      <c r="A6" s="2" t="s">
        <v>10</v>
      </c>
      <c r="B6" s="8" t="n">
        <f aca="false">(RawData!$G$39+RawData!$G$40+(RawData!$C$58+RawData!$D$58+RawData!$E$58))/RawData!$B$3+(RawData!$G$69+RawData!$G$70)*8/RawData!$B$5</f>
        <v>3220.88871442591</v>
      </c>
      <c r="C6" s="8" t="n">
        <f aca="false">(RawData!$G$39+RawData!$G$40)/RawData!$B$3+(RawData!$C$61+RawData!$D$61+RawData!$E$61)+(RawData!$G$69+RawData!$G$70)*8/RawData!$B$5</f>
        <v>1887.62571148185</v>
      </c>
      <c r="D6" s="8" t="n">
        <f aca="false">RawData!$G$41+RawData!$G$42+(RawData!$C$61+RawData!$D$61+RawData!$E$61)+(RawData!$G$69+RawData!$G$70)*8/RawData!$B$5</f>
        <v>2129.4</v>
      </c>
      <c r="E6" s="8" t="n">
        <f aca="false">RawData!$G$43+RawData!$G$44+(RawData!$C$64+RawData!$D$64+RawData!$E$64)+(RawData!$G$69+RawData!$G$70)*8/RawData!$B$5</f>
        <v>1317.27</v>
      </c>
      <c r="F6" s="8" t="n">
        <f aca="false">(RawData!$G$39+RawData!$G$40+(RawData!$C$58+RawData!$D$58+RawData!$E$58))/RawData!$B$4+(RawData!$G$69+RawData!$G$70)*8/RawData!$B$5</f>
        <v>9410.47121661721</v>
      </c>
      <c r="G6" s="8" t="n">
        <f aca="false">(RawData!$G$39+RawData!$G$40)/RawData!$B$4+(RawData!$C$61+RawData!$D$61+RawData!$E$61)+(RawData!$G$69+RawData!$G$70)*8/RawData!$B$5</f>
        <v>4377.28130563798</v>
      </c>
      <c r="H6" s="8" t="n">
        <f aca="false">RawData!$G$41+RawData!$G$42+(RawData!$C$61+RawData!$D$61+RawData!$E$61)+(RawData!$G$69+RawData!$G$70)*8/RawData!$B$5</f>
        <v>2129.4</v>
      </c>
      <c r="I6" s="8" t="n">
        <f aca="false">RawData!$G$43+RawData!$G$44+(RawData!$C$64+RawData!$D$64+RawData!$E$64)+(RawData!$G$69+RawData!$G$70)*8/RawData!$B$5</f>
        <v>1317.27</v>
      </c>
      <c r="J6" s="9" t="n">
        <f aca="false">B6/B6</f>
        <v>1</v>
      </c>
      <c r="K6" s="9" t="n">
        <f aca="false">B6/C6</f>
        <v>1.70631746263798</v>
      </c>
      <c r="L6" s="9" t="n">
        <f aca="false">B6/D6</f>
        <v>1.51258040500888</v>
      </c>
      <c r="M6" s="9" t="n">
        <f aca="false">B6/E6</f>
        <v>2.44512416924845</v>
      </c>
      <c r="N6" s="9" t="n">
        <f aca="false">F6/F6</f>
        <v>1</v>
      </c>
      <c r="O6" s="9" t="n">
        <f aca="false">F6/G6</f>
        <v>2.14984383217419</v>
      </c>
      <c r="P6" s="9" t="n">
        <f aca="false">F6/H6</f>
        <v>4.41930647911018</v>
      </c>
      <c r="Q6" s="9" t="n">
        <f aca="false">F6/I6</f>
        <v>7.14391978608578</v>
      </c>
    </row>
    <row r="7" customFormat="false" ht="15" hidden="false" customHeight="false" outlineLevel="0" collapsed="false">
      <c r="A7" s="2" t="s">
        <v>11</v>
      </c>
      <c r="B7" s="8" t="n">
        <f aca="false">(RawData!$H$39+RawData!$H$40+(RawData!$C$58+RawData!$D$58+RawData!$E$58))/RawData!$B$3+(RawData!$H$69+RawData!$H$70)*8/RawData!$B$5</f>
        <v>4448.88675171737</v>
      </c>
      <c r="C7" s="8" t="n">
        <f aca="false">(RawData!$H$39+RawData!$H$40)/RawData!$B$3+(RawData!$C$61+RawData!$D$61+RawData!$E$61)+(RawData!$H$69+RawData!$H$70)*8/RawData!$B$5</f>
        <v>3115.62374877331</v>
      </c>
      <c r="D7" s="8" t="n">
        <f aca="false">RawData!$H$41+RawData!$H$42+(RawData!$C$61+RawData!$D$61+RawData!$E$61)+(RawData!$H$69+RawData!$H$70)*8/RawData!$B$5</f>
        <v>3223.4</v>
      </c>
      <c r="E7" s="8" t="n">
        <f aca="false">RawData!$H$43+RawData!$H$44+(RawData!$C$64+RawData!$D$64+RawData!$E$64)+(RawData!$H$69+RawData!$H$70)*8/RawData!$B$5</f>
        <v>1386.27</v>
      </c>
      <c r="F7" s="8" t="n">
        <f aca="false">(RawData!$H$39+RawData!$H$40+(RawData!$C$58+RawData!$D$58+RawData!$E$58))/RawData!$B$4+(RawData!$H$69+RawData!$H$70)*8/RawData!$B$5</f>
        <v>12981.9548961424</v>
      </c>
      <c r="G7" s="8" t="n">
        <f aca="false">(RawData!$H$39+RawData!$H$40)/RawData!$B$4+(RawData!$C$61+RawData!$D$61+RawData!$E$61)+(RawData!$H$69+RawData!$H$70)*8/RawData!$B$5</f>
        <v>7948.7649851632</v>
      </c>
      <c r="H7" s="8" t="n">
        <f aca="false">RawData!$H$41+RawData!$H$42+(RawData!$C$61+RawData!$D$61+RawData!$E$61)+(RawData!$H$69+RawData!$H$70)*8/RawData!$B$5</f>
        <v>3223.4</v>
      </c>
      <c r="I7" s="8" t="n">
        <f aca="false">RawData!$H$43+RawData!$H$44+(RawData!$C$64+RawData!$D$64+RawData!$E$64)+(RawData!$H$69+RawData!$H$70)*8/RawData!$B$5</f>
        <v>1386.27</v>
      </c>
      <c r="J7" s="9" t="n">
        <f aca="false">B7/B7</f>
        <v>1</v>
      </c>
      <c r="K7" s="9" t="n">
        <f aca="false">B7/C7</f>
        <v>1.42792811663122</v>
      </c>
      <c r="L7" s="9" t="n">
        <f aca="false">B7/D7</f>
        <v>1.38018451067735</v>
      </c>
      <c r="M7" s="9" t="n">
        <f aca="false">B7/E7</f>
        <v>3.20924982270219</v>
      </c>
      <c r="N7" s="9" t="n">
        <f aca="false">F7/F7</f>
        <v>1</v>
      </c>
      <c r="O7" s="9" t="n">
        <f aca="false">F7/G7</f>
        <v>1.63320401601682</v>
      </c>
      <c r="P7" s="9" t="n">
        <f aca="false">F7/H7</f>
        <v>4.0274104660118</v>
      </c>
      <c r="Q7" s="9" t="n">
        <f aca="false">F7/I7</f>
        <v>9.36466553856206</v>
      </c>
    </row>
    <row r="8" customFormat="false" ht="15" hidden="false" customHeight="false" outlineLevel="0" collapsed="false">
      <c r="A8" s="2" t="s">
        <v>12</v>
      </c>
      <c r="B8" s="8" t="n">
        <f aca="false">(RawData!$I$39+RawData!$I$40+(RawData!$C$58+RawData!$D$58+RawData!$E$58))/RawData!$B$3+(RawData!$I$69+RawData!$I$70)*8/RawData!$B$5</f>
        <v>7063.46967615309</v>
      </c>
      <c r="C8" s="8" t="n">
        <f aca="false">(RawData!$I$39+RawData!$I$40)/RawData!$B$3+(RawData!$C$61+RawData!$D$61+RawData!$E$61)+(RawData!$I$69+RawData!$I$70)*8/RawData!$B$5</f>
        <v>5730.20667320903</v>
      </c>
      <c r="D8" s="8" t="n">
        <f aca="false">RawData!$I$41+RawData!$I$42+(RawData!$C$61+RawData!$D$61+RawData!$E$61)+(RawData!$I$69+RawData!$I$70)*8/RawData!$B$5</f>
        <v>4811.4</v>
      </c>
      <c r="E8" s="8" t="n">
        <f aca="false">RawData!$I$43+RawData!$I$44+(RawData!$C$64+RawData!$D$64+RawData!$E$64)+(RawData!$I$69+RawData!$I$70)*8/RawData!$B$5</f>
        <v>2075.27</v>
      </c>
      <c r="F8" s="8" t="n">
        <f aca="false">(RawData!$I$39+RawData!$I$40+(RawData!$C$58+RawData!$D$58+RawData!$E$58))/RawData!$B$4+(RawData!$I$69+RawData!$I$70)*8/RawData!$B$5</f>
        <v>20604.4474777448</v>
      </c>
      <c r="G8" s="8" t="n">
        <f aca="false">(RawData!$I$39+RawData!$I$40)/RawData!$B$4+(RawData!$C$61+RawData!$D$61+RawData!$E$61)+(RawData!$I$69+RawData!$I$70)*8/RawData!$B$5</f>
        <v>15571.2575667656</v>
      </c>
      <c r="H8" s="8" t="n">
        <f aca="false">RawData!$I$41+RawData!$I$42+(RawData!$C$61+RawData!$D$61+RawData!$E$61)+(RawData!$I$69+RawData!$I$70)*8/RawData!$B$5</f>
        <v>4811.4</v>
      </c>
      <c r="I8" s="8" t="n">
        <f aca="false">RawData!$I$43+RawData!$I$44+(RawData!$C$64+RawData!$D$64+RawData!$E$64)+(RawData!$I$69+RawData!$I$70)*8/RawData!$B$5</f>
        <v>2075.27</v>
      </c>
      <c r="J8" s="9" t="n">
        <f aca="false">B8/B8</f>
        <v>1</v>
      </c>
      <c r="K8" s="9" t="n">
        <f aca="false">B8/C8</f>
        <v>1.23267276016022</v>
      </c>
      <c r="L8" s="9" t="n">
        <f aca="false">B8/D8</f>
        <v>1.468069517428</v>
      </c>
      <c r="M8" s="9" t="n">
        <f aca="false">B8/E8</f>
        <v>3.40363888850756</v>
      </c>
      <c r="N8" s="9" t="n">
        <f aca="false">F8/F8</f>
        <v>1</v>
      </c>
      <c r="O8" s="9" t="n">
        <f aca="false">F8/G8</f>
        <v>1.32323592936526</v>
      </c>
      <c r="P8" s="9" t="n">
        <f aca="false">F8/H8</f>
        <v>4.28242247116116</v>
      </c>
      <c r="Q8" s="9" t="n">
        <f aca="false">F8/I8</f>
        <v>9.92856229683116</v>
      </c>
    </row>
    <row r="9" customFormat="false" ht="15" hidden="false" customHeight="false" outlineLevel="0" collapsed="false">
      <c r="A9" s="2" t="s">
        <v>13</v>
      </c>
      <c r="B9" s="8" t="n">
        <f aca="false">(RawData!$J$39+RawData!$J$40+(RawData!$C$58+RawData!$D$58+RawData!$E$58))/RawData!$B$3+(RawData!$J$69+RawData!$J$70)*8/RawData!$B$5</f>
        <v>11843.56781158</v>
      </c>
      <c r="C9" s="8" t="n">
        <f aca="false">(RawData!$J$39+RawData!$J$40)/RawData!$B$3+(RawData!$C$61+RawData!$D$61+RawData!$E$61)+(RawData!$J$69+RawData!$J$70)*8/RawData!$B$5</f>
        <v>10510.3048086359</v>
      </c>
      <c r="D9" s="8" t="n">
        <f aca="false">RawData!$J$41+RawData!$J$42+(RawData!$C$61+RawData!$D$61+RawData!$E$61)+(RawData!$J$69+RawData!$J$70)*8/RawData!$B$5</f>
        <v>8331.4</v>
      </c>
      <c r="E9" s="8" t="n">
        <f aca="false">RawData!$J$43+RawData!$J$44+(RawData!$C$64+RawData!$D$64+RawData!$E$64)+(RawData!$J$69+RawData!$J$70)*8/RawData!$B$5</f>
        <v>2612.27</v>
      </c>
      <c r="F9" s="8" t="n">
        <f aca="false">(RawData!$J$39+RawData!$J$40+(RawData!$C$58+RawData!$D$58+RawData!$E$58))/RawData!$B$4+(RawData!$J$69+RawData!$J$70)*8/RawData!$B$5</f>
        <v>34491.5691394659</v>
      </c>
      <c r="G9" s="8" t="n">
        <f aca="false">(RawData!$J$39+RawData!$J$40)/RawData!$B$4+(RawData!$C$61+RawData!$D$61+RawData!$E$61)+(RawData!$J$69+RawData!$J$70)*8/RawData!$B$5</f>
        <v>29458.3792284866</v>
      </c>
      <c r="H9" s="8" t="n">
        <f aca="false">RawData!$J$41+RawData!$J$42+(RawData!$C$61+RawData!$D$61+RawData!$E$61)+(RawData!$J$69+RawData!$J$70)*8/RawData!$B$5</f>
        <v>8331.4</v>
      </c>
      <c r="I9" s="8" t="n">
        <f aca="false">RawData!$J$43+RawData!$J$44+(RawData!$C$64+RawData!$D$64+RawData!$E$64)+(RawData!$J$69+RawData!$J$70)*8/RawData!$B$5</f>
        <v>2612.27</v>
      </c>
      <c r="J9" s="9" t="n">
        <f aca="false">B9/B9</f>
        <v>1</v>
      </c>
      <c r="K9" s="9" t="n">
        <f aca="false">B9/C9</f>
        <v>1.12685293406986</v>
      </c>
      <c r="L9" s="9" t="n">
        <f aca="false">B9/D9</f>
        <v>1.42155793883141</v>
      </c>
      <c r="M9" s="9" t="n">
        <f aca="false">B9/E9</f>
        <v>4.53382223567242</v>
      </c>
      <c r="N9" s="9" t="n">
        <f aca="false">F9/F9</f>
        <v>1</v>
      </c>
      <c r="O9" s="9" t="n">
        <f aca="false">F9/G9</f>
        <v>1.17085766572358</v>
      </c>
      <c r="P9" s="9" t="n">
        <f aca="false">F9/H9</f>
        <v>4.13994876484935</v>
      </c>
      <c r="Q9" s="9" t="n">
        <f aca="false">F9/I9</f>
        <v>13.2036769321188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7" min="2" style="0" width="16"/>
  </cols>
  <sheetData>
    <row r="1" customFormat="false" ht="15" hidden="false" customHeight="fals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customFormat="false" ht="15" hidden="false" customHeight="false" outlineLevel="0" collapsed="false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  <c r="G3" s="5" t="s">
        <v>51</v>
      </c>
      <c r="H3" s="5" t="s">
        <v>52</v>
      </c>
      <c r="I3" s="5" t="s">
        <v>53</v>
      </c>
      <c r="J3" s="5" t="s">
        <v>54</v>
      </c>
      <c r="K3" s="5" t="s">
        <v>55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</row>
    <row r="4" customFormat="false" ht="15" hidden="false" customHeight="false" outlineLevel="0" collapsed="false">
      <c r="A4" s="2" t="s">
        <v>8</v>
      </c>
      <c r="B4" s="8" t="n">
        <f aca="false">(RawData!$E$48+RawData!$E$49+(RawData!$C$59+RawData!$D$59+RawData!$E$59))/RawData!$B$3+(RawData!$E$69+RawData!$E$70)*64/RawData!$B$5</f>
        <v>18508.0243375859</v>
      </c>
      <c r="C4" s="8" t="n">
        <f aca="false">(RawData!$E$48+RawData!$E$49)/RawData!$B$3+(RawData!$C$62+RawData!$D$62+RawData!$E$62)+(RawData!$E$69+RawData!$E$70)*64/RawData!$B$5</f>
        <v>4871.92031403337</v>
      </c>
      <c r="D4" s="8" t="n">
        <f aca="false">RawData!$E$50+RawData!$E$51+(RawData!$C$62+RawData!$D$62+RawData!$E$62)+(RawData!$E$69+RawData!$E$70)*64/RawData!$B$5</f>
        <v>9345.2</v>
      </c>
      <c r="E4" s="8" t="n">
        <f aca="false">RawData!$E$52+RawData!$E$53+(RawData!$C$65+RawData!$D$65+RawData!$E$65)+(RawData!$E$69+RawData!$E$70)*64/RawData!$B$5</f>
        <v>8826.2</v>
      </c>
      <c r="F4" s="8" t="n">
        <f aca="false">(RawData!$E$48+RawData!$E$49+(RawData!$C$59+RawData!$D$59+RawData!$E$59))/RawData!$B$4+(RawData!$E$69+RawData!$E$70)*64/RawData!$B$5</f>
        <v>54208.4462908012</v>
      </c>
      <c r="G4" s="8" t="n">
        <f aca="false">(RawData!$E$48+RawData!$E$49)/RawData!$B$4+(RawData!$C$62+RawData!$D$62+RawData!$E$62)+(RawData!$E$69+RawData!$E$70)*64/RawData!$B$5</f>
        <v>10972.9270029674</v>
      </c>
      <c r="H4" s="8" t="n">
        <f aca="false">RawData!$E$50+RawData!$E$51+(RawData!$C$62+RawData!$D$62+RawData!$E$62)+(RawData!$E$69+RawData!$E$70)*64/RawData!$B$5</f>
        <v>9345.2</v>
      </c>
      <c r="I4" s="8" t="n">
        <f aca="false">RawData!$E$52+RawData!$E$53+(RawData!$C$65+RawData!$D$65+RawData!$E$65)+(RawData!$E$69+RawData!$E$70)*64/RawData!$B$5</f>
        <v>8826.2</v>
      </c>
      <c r="J4" s="9" t="n">
        <f aca="false">B4/B4</f>
        <v>1</v>
      </c>
      <c r="K4" s="9" t="n">
        <f aca="false">B4/C4</f>
        <v>3.79891770484716</v>
      </c>
      <c r="L4" s="9" t="n">
        <f aca="false">B4/D4</f>
        <v>1.98048456293989</v>
      </c>
      <c r="M4" s="9" t="n">
        <f aca="false">B4/E4</f>
        <v>2.09694141732409</v>
      </c>
      <c r="N4" s="9" t="n">
        <f aca="false">F4/F4</f>
        <v>1</v>
      </c>
      <c r="O4" s="9" t="n">
        <f aca="false">F4/G4</f>
        <v>4.94019929925186</v>
      </c>
      <c r="P4" s="9" t="n">
        <f aca="false">F4/H4</f>
        <v>5.80067267589791</v>
      </c>
      <c r="Q4" s="9" t="n">
        <f aca="false">F4/I4</f>
        <v>6.14176500541583</v>
      </c>
    </row>
    <row r="5" customFormat="false" ht="15" hidden="false" customHeight="false" outlineLevel="0" collapsed="false">
      <c r="A5" s="2" t="s">
        <v>9</v>
      </c>
      <c r="B5" s="8" t="n">
        <f aca="false">(RawData!$F$48+RawData!$F$49+(RawData!$C$59+RawData!$D$59+RawData!$E$59))/RawData!$B$3+(RawData!$F$69+RawData!$F$70)*64/RawData!$B$5</f>
        <v>20972.4325809617</v>
      </c>
      <c r="C5" s="8" t="n">
        <f aca="false">(RawData!$F$48+RawData!$F$49)/RawData!$B$3+(RawData!$C$62+RawData!$D$62+RawData!$E$62)+(RawData!$F$69+RawData!$F$70)*64/RawData!$B$5</f>
        <v>7336.32855740923</v>
      </c>
      <c r="D5" s="8" t="n">
        <f aca="false">RawData!$F$50+RawData!$F$51+(RawData!$C$62+RawData!$D$62+RawData!$E$62)+(RawData!$F$69+RawData!$F$70)*64/RawData!$B$5</f>
        <v>9473.2</v>
      </c>
      <c r="E5" s="8" t="n">
        <f aca="false">RawData!$F$52+RawData!$F$53+(RawData!$C$65+RawData!$D$65+RawData!$E$65)+(RawData!$F$69+RawData!$F$70)*64/RawData!$B$5</f>
        <v>8866.2</v>
      </c>
      <c r="F5" s="8" t="n">
        <f aca="false">(RawData!$F$48+RawData!$F$49+(RawData!$C$59+RawData!$D$59+RawData!$E$59))/RawData!$B$4+(RawData!$F$69+RawData!$F$70)*64/RawData!$B$5</f>
        <v>61401.1347181009</v>
      </c>
      <c r="G5" s="8" t="n">
        <f aca="false">(RawData!$F$48+RawData!$F$49)/RawData!$B$4+(RawData!$C$62+RawData!$D$62+RawData!$E$62)+(RawData!$F$69+RawData!$F$70)*64/RawData!$B$5</f>
        <v>18165.6154302671</v>
      </c>
      <c r="H5" s="8" t="n">
        <f aca="false">RawData!$F$50+RawData!$F$51+(RawData!$C$62+RawData!$D$62+RawData!$E$62)+(RawData!$F$69+RawData!$F$70)*64/RawData!$B$5</f>
        <v>9473.2</v>
      </c>
      <c r="I5" s="8" t="n">
        <f aca="false">RawData!$F$52+RawData!$F$53+(RawData!$C$65+RawData!$D$65+RawData!$E$65)+(RawData!$F$69+RawData!$F$70)*64/RawData!$B$5</f>
        <v>8866.2</v>
      </c>
      <c r="J5" s="9" t="n">
        <f aca="false">B5/B5</f>
        <v>1</v>
      </c>
      <c r="K5" s="9" t="n">
        <f aca="false">B5/C5</f>
        <v>2.85870955980848</v>
      </c>
      <c r="L5" s="9" t="n">
        <f aca="false">B5/D5</f>
        <v>2.21386992578661</v>
      </c>
      <c r="M5" s="9" t="n">
        <f aca="false">B5/E5</f>
        <v>2.36543644187608</v>
      </c>
      <c r="N5" s="9" t="n">
        <f aca="false">F5/F5</f>
        <v>1</v>
      </c>
      <c r="O5" s="9" t="n">
        <f aca="false">F5/G5</f>
        <v>3.38007456745979</v>
      </c>
      <c r="P5" s="9" t="n">
        <f aca="false">F5/H5</f>
        <v>6.48156216675473</v>
      </c>
      <c r="Q5" s="9" t="n">
        <f aca="false">F5/I5</f>
        <v>6.92530449551114</v>
      </c>
    </row>
    <row r="6" customFormat="false" ht="15" hidden="false" customHeight="false" outlineLevel="0" collapsed="false">
      <c r="A6" s="2" t="s">
        <v>10</v>
      </c>
      <c r="B6" s="8" t="n">
        <f aca="false">(RawData!$G$48+RawData!$G$49+(RawData!$C$59+RawData!$D$59+RawData!$E$59))/RawData!$B$3+(RawData!$G$69+RawData!$G$70)*64/RawData!$B$5</f>
        <v>25767.1097154073</v>
      </c>
      <c r="C6" s="8" t="n">
        <f aca="false">(RawData!$G$48+RawData!$G$49)/RawData!$B$3+(RawData!$C$62+RawData!$D$62+RawData!$E$62)+(RawData!$G$69+RawData!$G$70)*64/RawData!$B$5</f>
        <v>12131.0056918548</v>
      </c>
      <c r="D6" s="8" t="n">
        <f aca="false">RawData!$G$50+RawData!$G$51+(RawData!$C$62+RawData!$D$62+RawData!$E$62)+(RawData!$G$69+RawData!$G$70)*64/RawData!$B$5</f>
        <v>14065.2</v>
      </c>
      <c r="E6" s="8" t="n">
        <f aca="false">RawData!$G$52+RawData!$G$53+(RawData!$C$65+RawData!$D$65+RawData!$E$65)+(RawData!$G$69+RawData!$G$70)*64/RawData!$B$5</f>
        <v>9274.2</v>
      </c>
      <c r="F6" s="8" t="n">
        <f aca="false">(RawData!$G$48+RawData!$G$49+(RawData!$C$59+RawData!$D$59+RawData!$E$59))/RawData!$B$4+(RawData!$G$69+RawData!$G$70)*64/RawData!$B$5</f>
        <v>75283.7697329377</v>
      </c>
      <c r="G6" s="8" t="n">
        <f aca="false">(RawData!$G$48+RawData!$G$49)/RawData!$B$4+(RawData!$C$62+RawData!$D$62+RawData!$E$62)+(RawData!$G$69+RawData!$G$70)*64/RawData!$B$5</f>
        <v>32048.2504451039</v>
      </c>
      <c r="H6" s="8" t="n">
        <f aca="false">RawData!$G$50+RawData!$G$51+(RawData!$C$62+RawData!$D$62+RawData!$E$62)+(RawData!$G$69+RawData!$G$70)*64/RawData!$B$5</f>
        <v>14065.2</v>
      </c>
      <c r="I6" s="8" t="n">
        <f aca="false">RawData!$G$52+RawData!$G$53+(RawData!$C$65+RawData!$D$65+RawData!$E$65)+(RawData!$G$69+RawData!$G$70)*64/RawData!$B$5</f>
        <v>9274.2</v>
      </c>
      <c r="J6" s="9" t="n">
        <f aca="false">B6/B6</f>
        <v>1</v>
      </c>
      <c r="K6" s="9" t="n">
        <f aca="false">B6/C6</f>
        <v>2.12407036728277</v>
      </c>
      <c r="L6" s="9" t="n">
        <f aca="false">B6/D6</f>
        <v>1.8319760625805</v>
      </c>
      <c r="M6" s="9" t="n">
        <f aca="false">B6/E6</f>
        <v>2.77836468001631</v>
      </c>
      <c r="N6" s="9" t="n">
        <f aca="false">F6/F6</f>
        <v>1</v>
      </c>
      <c r="O6" s="9" t="n">
        <f aca="false">F6/G6</f>
        <v>2.34907580561669</v>
      </c>
      <c r="P6" s="9" t="n">
        <f aca="false">F6/H6</f>
        <v>5.35248483725348</v>
      </c>
      <c r="Q6" s="9" t="n">
        <f aca="false">F6/I6</f>
        <v>8.11754865464813</v>
      </c>
    </row>
    <row r="7" customFormat="false" ht="15" hidden="false" customHeight="false" outlineLevel="0" collapsed="false">
      <c r="A7" s="2" t="s">
        <v>11</v>
      </c>
      <c r="B7" s="8" t="n">
        <f aca="false">(RawData!$H$48+RawData!$H$49+(RawData!$C$59+RawData!$D$59+RawData!$E$59))/RawData!$B$3+(RawData!$H$69+RawData!$H$70)*64/RawData!$B$5</f>
        <v>35591.094013739</v>
      </c>
      <c r="C7" s="8" t="n">
        <f aca="false">(RawData!$H$48+RawData!$H$49)/RawData!$B$3+(RawData!$C$62+RawData!$D$62+RawData!$E$62)+(RawData!$H$69+RawData!$H$70)*64/RawData!$B$5</f>
        <v>21954.9899901865</v>
      </c>
      <c r="D7" s="8" t="n">
        <f aca="false">RawData!$H$50+RawData!$H$51+(RawData!$C$62+RawData!$D$62+RawData!$E$62)+(RawData!$H$69+RawData!$H$70)*64/RawData!$B$5</f>
        <v>22817.2</v>
      </c>
      <c r="E7" s="8" t="n">
        <f aca="false">RawData!$H$52+RawData!$H$53+(RawData!$C$65+RawData!$D$65+RawData!$E$65)+(RawData!$H$69+RawData!$H$70)*64/RawData!$B$5</f>
        <v>9826.2</v>
      </c>
      <c r="F7" s="8" t="n">
        <f aca="false">(RawData!$H$48+RawData!$H$49+(RawData!$C$59+RawData!$D$59+RawData!$E$59))/RawData!$B$4+(RawData!$H$69+RawData!$H$70)*64/RawData!$B$5</f>
        <v>103855.639169139</v>
      </c>
      <c r="G7" s="8" t="n">
        <f aca="false">(RawData!$H$48+RawData!$H$49)/RawData!$B$4+(RawData!$C$62+RawData!$D$62+RawData!$E$62)+(RawData!$H$69+RawData!$H$70)*64/RawData!$B$5</f>
        <v>60620.1198813056</v>
      </c>
      <c r="H7" s="8" t="n">
        <f aca="false">RawData!$H$50+RawData!$H$51+(RawData!$C$62+RawData!$D$62+RawData!$E$62)+(RawData!$H$69+RawData!$H$70)*64/RawData!$B$5</f>
        <v>22817.2</v>
      </c>
      <c r="I7" s="8" t="n">
        <f aca="false">RawData!$H$52+RawData!$H$53+(RawData!$C$65+RawData!$D$65+RawData!$E$65)+(RawData!$H$69+RawData!$H$70)*64/RawData!$B$5</f>
        <v>9826.2</v>
      </c>
      <c r="J7" s="9" t="n">
        <f aca="false">B7/B7</f>
        <v>1</v>
      </c>
      <c r="K7" s="9" t="n">
        <f aca="false">B7/C7</f>
        <v>1.62109361150461</v>
      </c>
      <c r="L7" s="9" t="n">
        <f aca="false">B7/D7</f>
        <v>1.55983617682007</v>
      </c>
      <c r="M7" s="9" t="n">
        <f aca="false">B7/E7</f>
        <v>3.62206081839765</v>
      </c>
      <c r="N7" s="9" t="n">
        <f aca="false">F7/F7</f>
        <v>1</v>
      </c>
      <c r="O7" s="9" t="n">
        <f aca="false">F7/G7</f>
        <v>1.7132206167274</v>
      </c>
      <c r="P7" s="9" t="n">
        <f aca="false">F7/H7</f>
        <v>4.55163820140681</v>
      </c>
      <c r="Q7" s="9" t="n">
        <f aca="false">F7/I7</f>
        <v>10.5692576142496</v>
      </c>
    </row>
    <row r="8" customFormat="false" ht="15" hidden="false" customHeight="false" outlineLevel="0" collapsed="false">
      <c r="A8" s="2" t="s">
        <v>12</v>
      </c>
      <c r="B8" s="8" t="n">
        <f aca="false">(RawData!$I$48+RawData!$I$49+(RawData!$C$59+RawData!$D$59+RawData!$E$59))/RawData!$B$3+(RawData!$I$69+RawData!$I$70)*64/RawData!$B$5</f>
        <v>56507.7574092247</v>
      </c>
      <c r="C8" s="8" t="n">
        <f aca="false">(RawData!$I$48+RawData!$I$49)/RawData!$B$3+(RawData!$C$62+RawData!$D$62+RawData!$E$62)+(RawData!$I$69+RawData!$I$70)*64/RawData!$B$5</f>
        <v>42871.6533856722</v>
      </c>
      <c r="D8" s="8" t="n">
        <f aca="false">RawData!$I$50+RawData!$I$51+(RawData!$C$62+RawData!$D$62+RawData!$E$62)+(RawData!$I$69+RawData!$I$70)*64/RawData!$B$5</f>
        <v>35521.2</v>
      </c>
      <c r="E8" s="8" t="n">
        <f aca="false">RawData!$I$52+RawData!$I$53+(RawData!$C$65+RawData!$D$65+RawData!$E$65)+(RawData!$I$69+RawData!$I$70)*64/RawData!$B$5</f>
        <v>15338.2</v>
      </c>
      <c r="F8" s="8" t="n">
        <f aca="false">(RawData!$I$48+RawData!$I$49+(RawData!$C$59+RawData!$D$59+RawData!$E$59))/RawData!$B$4+(RawData!$I$69+RawData!$I$70)*64/RawData!$B$5</f>
        <v>164835.579821958</v>
      </c>
      <c r="G8" s="8" t="n">
        <f aca="false">(RawData!$I$48+RawData!$I$49)/RawData!$B$4+(RawData!$C$62+RawData!$D$62+RawData!$E$62)+(RawData!$I$69+RawData!$I$70)*64/RawData!$B$5</f>
        <v>121600.060534125</v>
      </c>
      <c r="H8" s="8" t="n">
        <f aca="false">RawData!$I$50+RawData!$I$51+(RawData!$C$62+RawData!$D$62+RawData!$E$62)+(RawData!$I$69+RawData!$I$70)*64/RawData!$B$5</f>
        <v>35521.2</v>
      </c>
      <c r="I8" s="8" t="n">
        <f aca="false">RawData!$I$52+RawData!$I$53+(RawData!$C$65+RawData!$D$65+RawData!$E$65)+(RawData!$I$69+RawData!$I$70)*64/RawData!$B$5</f>
        <v>15338.2</v>
      </c>
      <c r="J8" s="9" t="n">
        <f aca="false">B8/B8</f>
        <v>1</v>
      </c>
      <c r="K8" s="9" t="n">
        <f aca="false">B8/C8</f>
        <v>1.31806806938101</v>
      </c>
      <c r="L8" s="9" t="n">
        <f aca="false">B8/D8</f>
        <v>1.59081780483837</v>
      </c>
      <c r="M8" s="9" t="n">
        <f aca="false">B8/E8</f>
        <v>3.68411921928419</v>
      </c>
      <c r="N8" s="9" t="n">
        <f aca="false">F8/F8</f>
        <v>1</v>
      </c>
      <c r="O8" s="9" t="n">
        <f aca="false">F8/G8</f>
        <v>1.35555508030114</v>
      </c>
      <c r="P8" s="9" t="n">
        <f aca="false">F8/H8</f>
        <v>4.64048455068969</v>
      </c>
      <c r="Q8" s="9" t="n">
        <f aca="false">F8/I8</f>
        <v>10.7467355897014</v>
      </c>
    </row>
    <row r="9" customFormat="false" ht="15" hidden="false" customHeight="false" outlineLevel="0" collapsed="false">
      <c r="A9" s="2" t="s">
        <v>13</v>
      </c>
      <c r="B9" s="8" t="n">
        <f aca="false">(RawData!$J$48+RawData!$J$49+(RawData!$C$59+RawData!$D$59+RawData!$E$59))/RawData!$B$3+(RawData!$J$69+RawData!$J$70)*64/RawData!$B$5</f>
        <v>94748.5424926398</v>
      </c>
      <c r="C9" s="8" t="n">
        <f aca="false">(RawData!$J$48+RawData!$J$49)/RawData!$B$3+(RawData!$C$62+RawData!$D$62+RawData!$E$62)+(RawData!$J$69+RawData!$J$70)*64/RawData!$B$5</f>
        <v>81112.4384690873</v>
      </c>
      <c r="D9" s="8" t="n">
        <f aca="false">RawData!$J$50+RawData!$J$51+(RawData!$C$62+RawData!$D$62+RawData!$E$62)+(RawData!$J$69+RawData!$J$70)*64/RawData!$B$5</f>
        <v>63681.2</v>
      </c>
      <c r="E9" s="8" t="n">
        <f aca="false">RawData!$J$52+RawData!$J$53+(RawData!$C$65+RawData!$D$65+RawData!$E$65)+(RawData!$J$69+RawData!$J$70)*64/RawData!$B$5</f>
        <v>19634.2</v>
      </c>
      <c r="F9" s="8" t="n">
        <f aca="false">(RawData!$J$48+RawData!$J$49+(RawData!$C$59+RawData!$D$59+RawData!$E$59))/RawData!$B$4+(RawData!$J$69+RawData!$J$70)*64/RawData!$B$5</f>
        <v>275932.553115727</v>
      </c>
      <c r="G9" s="8" t="n">
        <f aca="false">(RawData!$J$48+RawData!$J$49)/RawData!$B$4+(RawData!$C$62+RawData!$D$62+RawData!$E$62)+(RawData!$J$69+RawData!$J$70)*64/RawData!$B$5</f>
        <v>232697.033827893</v>
      </c>
      <c r="H9" s="8" t="n">
        <f aca="false">RawData!$J$50+RawData!$J$51+(RawData!$C$62+RawData!$D$62+RawData!$E$62)+(RawData!$J$69+RawData!$J$70)*64/RawData!$B$5</f>
        <v>63681.2</v>
      </c>
      <c r="I9" s="8" t="n">
        <f aca="false">RawData!$J$52+RawData!$J$53+(RawData!$C$65+RawData!$D$65+RawData!$E$65)+(RawData!$J$69+RawData!$J$70)*64/RawData!$B$5</f>
        <v>19634.2</v>
      </c>
      <c r="J9" s="9" t="n">
        <f aca="false">B9/B9</f>
        <v>1</v>
      </c>
      <c r="K9" s="9" t="n">
        <f aca="false">B9/C9</f>
        <v>1.1681135998488</v>
      </c>
      <c r="L9" s="9" t="n">
        <f aca="false">B9/D9</f>
        <v>1.48785736595164</v>
      </c>
      <c r="M9" s="9" t="n">
        <f aca="false">B9/E9</f>
        <v>4.82568897600309</v>
      </c>
      <c r="N9" s="9" t="n">
        <f aca="false">F9/F9</f>
        <v>1</v>
      </c>
      <c r="O9" s="9" t="n">
        <f aca="false">F9/G9</f>
        <v>1.18580176367788</v>
      </c>
      <c r="P9" s="9" t="n">
        <f aca="false">F9/H9</f>
        <v>4.33303004836164</v>
      </c>
      <c r="Q9" s="9" t="n">
        <f aca="false">F9/I9</f>
        <v>14.0536692666738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2026-05-21T17:05:51Z</dcterms:created>
  <dc:creator>openpyxl</dc:creator>
  <dc:description/>
  <dc:language>en-US</dc:language>
  <cp:lastModifiedBy/>
  <dcterms:modified xsi:type="dcterms:W3CDTF">2026-05-21T17:05:51Z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