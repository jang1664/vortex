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ISO-AREA" sheetId="2" state="visible" r:id="rId4"/>
    <sheet name="ISO-POW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<sst xmlns="http://schemas.openxmlformats.org/spreadsheetml/2006/main" count="157" uniqueCount="49">
  <si>
    <t xml:space="preserve">Inputs (edit blue cells; other sheets recompute via formula)</t>
  </si>
  <si>
    <t xml:space="preserve">Area ratio (fp16 : fp-int)</t>
  </si>
  <si>
    <t xml:space="preserve">Power ratio (fp16 : fp-int)</t>
  </si>
  <si>
    <t xml:space="preserve">PREFILL raw cycles</t>
  </si>
  <si>
    <t xml:space="preserve">s64</t>
  </si>
  <si>
    <t xml:space="preserve">s128</t>
  </si>
  <si>
    <t xml:space="preserve">s256</t>
  </si>
  <si>
    <t xml:space="preserve">s512</t>
  </si>
  <si>
    <t xml:space="preserve">s1024</t>
  </si>
  <si>
    <t xml:space="preserve">s2048</t>
  </si>
  <si>
    <t xml:space="preserve">s4096</t>
  </si>
  <si>
    <t xml:space="preserve">s8192</t>
  </si>
  <si>
    <t xml:space="preserve">s16384</t>
  </si>
  <si>
    <t xml:space="preserve">fp16</t>
  </si>
  <si>
    <t xml:space="preserve">fp16 qk</t>
  </si>
  <si>
    <t xml:space="preserve">fp16 pv</t>
  </si>
  <si>
    <t xml:space="preserve">fp16 qkv</t>
  </si>
  <si>
    <t xml:space="preserve">fp16 out</t>
  </si>
  <si>
    <t xml:space="preserve">fp16 ffn</t>
  </si>
  <si>
    <t xml:space="preserve">fi</t>
  </si>
  <si>
    <t xml:space="preserve">fi qk</t>
  </si>
  <si>
    <t xml:space="preserve">fi pv</t>
  </si>
  <si>
    <t xml:space="preserve">fi qkv</t>
  </si>
  <si>
    <t xml:space="preserve">fi out</t>
  </si>
  <si>
    <t xml:space="preserve">fi ffn</t>
  </si>
  <si>
    <t xml:space="preserve">improve</t>
  </si>
  <si>
    <t xml:space="preserve">imp qk</t>
  </si>
  <si>
    <t xml:space="preserve">imp pv</t>
  </si>
  <si>
    <t xml:space="preserve">imp qkv</t>
  </si>
  <si>
    <t xml:space="preserve">imp out</t>
  </si>
  <si>
    <t xml:space="preserve">imp ffn</t>
  </si>
  <si>
    <t xml:space="preserve">DECODE raw cycles</t>
  </si>
  <si>
    <t xml:space="preserve">ISO-AREA breakdown (formulas use RawData!$B$3)</t>
  </si>
  <si>
    <t xml:space="preserve">Prefill · s512</t>
  </si>
  <si>
    <t xml:space="preserve">Component</t>
  </si>
  <si>
    <t xml:space="preserve">C1</t>
  </si>
  <si>
    <t xml:space="preserve">C2</t>
  </si>
  <si>
    <t xml:space="preserve">C3</t>
  </si>
  <si>
    <t xml:space="preserve">C4</t>
  </si>
  <si>
    <t xml:space="preserve">qk</t>
  </si>
  <si>
    <t xml:space="preserve">pv</t>
  </si>
  <si>
    <t xml:space="preserve">qkv</t>
  </si>
  <si>
    <t xml:space="preserve">out</t>
  </si>
  <si>
    <t xml:space="preserve">ffn</t>
  </si>
  <si>
    <t xml:space="preserve">TOTAL</t>
  </si>
  <si>
    <t xml:space="preserve">Prefill · s16384</t>
  </si>
  <si>
    <t xml:space="preserve">Decode · s512</t>
  </si>
  <si>
    <t xml:space="preserve">Decode · s16384</t>
  </si>
  <si>
    <t xml:space="preserve">ISO-POWER breakdown (formulas use RawData!$B$4)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</si>
</sst>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1F2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3" t="n">
        <v>10.19</v>
      </c>
    </row>
    <row r="4" customFormat="false" ht="15" hidden="false" customHeight="false" outlineLevel="0" collapsed="false">
      <c r="A4" s="2" t="s">
        <v>2</v>
      </c>
      <c r="B4" s="3" t="n">
        <v>3.37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/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</row>
    <row r="8" customFormat="false" ht="15" hidden="false" customHeight="false" outlineLevel="0" collapsed="false">
      <c r="A8" s="2" t="s">
        <v>13</v>
      </c>
    </row>
    <row r="9" customFormat="false" ht="15" hidden="false" customHeight="false" outlineLevel="0" collapsed="false">
      <c r="A9" s="6" t="s">
        <v>14</v>
      </c>
      <c r="B9" s="3" t="n">
        <v>226</v>
      </c>
      <c r="C9" s="3" t="n">
        <v>778</v>
      </c>
      <c r="D9" s="3" t="n">
        <v>3030</v>
      </c>
      <c r="E9" s="3" t="n">
        <v>11845</v>
      </c>
      <c r="F9" s="3" t="n">
        <v>47509</v>
      </c>
      <c r="G9" s="3" t="n">
        <v>182713</v>
      </c>
      <c r="H9" s="3" t="n">
        <v>730800</v>
      </c>
      <c r="I9" s="3" t="n">
        <v>2850100</v>
      </c>
      <c r="J9" s="3" t="n">
        <v>11400400</v>
      </c>
    </row>
    <row r="10" customFormat="false" ht="15" hidden="false" customHeight="false" outlineLevel="0" collapsed="false">
      <c r="A10" s="6" t="s">
        <v>15</v>
      </c>
      <c r="B10" s="3" t="n">
        <v>257</v>
      </c>
      <c r="C10" s="3" t="n">
        <v>782</v>
      </c>
      <c r="D10" s="3" t="n">
        <v>2758</v>
      </c>
      <c r="E10" s="3" t="n">
        <v>10248</v>
      </c>
      <c r="F10" s="3" t="n">
        <v>40024</v>
      </c>
      <c r="G10" s="3" t="n">
        <v>156063</v>
      </c>
      <c r="H10" s="3" t="n">
        <v>730800</v>
      </c>
      <c r="I10" s="3" t="n">
        <v>2850100</v>
      </c>
      <c r="J10" s="3" t="n">
        <v>11400400</v>
      </c>
    </row>
    <row r="11" customFormat="false" ht="15" hidden="false" customHeight="false" outlineLevel="0" collapsed="false">
      <c r="A11" s="6" t="s">
        <v>16</v>
      </c>
      <c r="B11" s="3" t="n">
        <v>33510</v>
      </c>
      <c r="C11" s="3" t="n">
        <v>67020</v>
      </c>
      <c r="D11" s="3" t="n">
        <v>134040</v>
      </c>
      <c r="E11" s="3" t="n">
        <v>268080</v>
      </c>
      <c r="F11" s="3" t="n">
        <v>536160</v>
      </c>
      <c r="G11" s="3" t="n">
        <v>1072320</v>
      </c>
      <c r="H11" s="3" t="n">
        <v>2144640</v>
      </c>
      <c r="I11" s="3" t="n">
        <v>4289280</v>
      </c>
      <c r="J11" s="3" t="n">
        <v>8578560</v>
      </c>
    </row>
    <row r="12" customFormat="false" ht="15" hidden="false" customHeight="false" outlineLevel="0" collapsed="false">
      <c r="A12" s="6" t="s">
        <v>17</v>
      </c>
      <c r="B12" s="3" t="n">
        <v>11170</v>
      </c>
      <c r="C12" s="3" t="n">
        <v>22340</v>
      </c>
      <c r="D12" s="3" t="n">
        <v>44680</v>
      </c>
      <c r="E12" s="3" t="n">
        <v>89360</v>
      </c>
      <c r="F12" s="3" t="n">
        <v>178720</v>
      </c>
      <c r="G12" s="3" t="n">
        <v>357440</v>
      </c>
      <c r="H12" s="3" t="n">
        <v>714880</v>
      </c>
      <c r="I12" s="3" t="n">
        <v>1429760</v>
      </c>
      <c r="J12" s="3" t="n">
        <v>2859520</v>
      </c>
    </row>
    <row r="13" customFormat="false" ht="15" hidden="false" customHeight="false" outlineLevel="0" collapsed="false">
      <c r="A13" s="6" t="s">
        <v>18</v>
      </c>
      <c r="B13" s="3" t="n">
        <v>91395</v>
      </c>
      <c r="C13" s="3" t="n">
        <v>182790</v>
      </c>
      <c r="D13" s="3" t="n">
        <v>365580</v>
      </c>
      <c r="E13" s="3" t="n">
        <v>731160</v>
      </c>
      <c r="F13" s="3" t="n">
        <v>1462320</v>
      </c>
      <c r="G13" s="3" t="n">
        <v>2924640</v>
      </c>
      <c r="H13" s="3" t="n">
        <v>5849280</v>
      </c>
      <c r="I13" s="3" t="n">
        <v>11698560</v>
      </c>
      <c r="J13" s="3" t="n">
        <v>23397120</v>
      </c>
    </row>
    <row r="15" customFormat="false" ht="15" hidden="false" customHeight="false" outlineLevel="0" collapsed="false">
      <c r="A15" s="2" t="s">
        <v>19</v>
      </c>
    </row>
    <row r="16" customFormat="false" ht="15" hidden="false" customHeight="false" outlineLevel="0" collapsed="false">
      <c r="A16" s="6" t="s">
        <v>20</v>
      </c>
      <c r="B16" s="3" t="n">
        <v>61</v>
      </c>
      <c r="C16" s="3" t="n">
        <v>95</v>
      </c>
      <c r="D16" s="3" t="n">
        <v>162</v>
      </c>
      <c r="E16" s="3" t="n">
        <v>562</v>
      </c>
      <c r="F16" s="3" t="n">
        <v>2037</v>
      </c>
      <c r="G16" s="3" t="n">
        <v>8222</v>
      </c>
      <c r="H16" s="3" t="n">
        <v>32888</v>
      </c>
      <c r="I16" s="3" t="n">
        <v>131552</v>
      </c>
      <c r="J16" s="3" t="n">
        <v>499897</v>
      </c>
    </row>
    <row r="17" customFormat="false" ht="15" hidden="false" customHeight="false" outlineLevel="0" collapsed="false">
      <c r="A17" s="6" t="s">
        <v>21</v>
      </c>
      <c r="B17" s="3" t="n">
        <v>59</v>
      </c>
      <c r="C17" s="3" t="n">
        <v>93</v>
      </c>
      <c r="D17" s="3" t="n">
        <v>161</v>
      </c>
      <c r="E17" s="3" t="n">
        <v>409</v>
      </c>
      <c r="F17" s="3" t="n">
        <v>1266</v>
      </c>
      <c r="G17" s="3" t="n">
        <v>4629</v>
      </c>
      <c r="H17" s="3" t="n">
        <v>18512</v>
      </c>
      <c r="I17" s="3" t="n">
        <v>74048</v>
      </c>
      <c r="J17" s="3" t="n">
        <v>318406</v>
      </c>
    </row>
    <row r="18" customFormat="false" ht="15" hidden="false" customHeight="false" outlineLevel="0" collapsed="false">
      <c r="A18" s="6" t="s">
        <v>22</v>
      </c>
      <c r="B18" s="3" t="n">
        <v>885</v>
      </c>
      <c r="C18" s="3" t="n">
        <v>1770</v>
      </c>
      <c r="D18" s="3" t="n">
        <v>3540</v>
      </c>
      <c r="E18" s="3" t="n">
        <v>7080</v>
      </c>
      <c r="F18" s="3" t="n">
        <v>14160</v>
      </c>
      <c r="G18" s="3" t="n">
        <v>28320</v>
      </c>
      <c r="H18" s="3" t="n">
        <v>56640</v>
      </c>
      <c r="I18" s="3" t="n">
        <v>113280</v>
      </c>
      <c r="J18" s="3" t="n">
        <v>226560</v>
      </c>
    </row>
    <row r="19" customFormat="false" ht="15" hidden="false" customHeight="false" outlineLevel="0" collapsed="false">
      <c r="A19" s="6" t="s">
        <v>23</v>
      </c>
      <c r="B19" s="3" t="n">
        <v>295</v>
      </c>
      <c r="C19" s="3" t="n">
        <v>590</v>
      </c>
      <c r="D19" s="3" t="n">
        <v>1180</v>
      </c>
      <c r="E19" s="3" t="n">
        <v>2360</v>
      </c>
      <c r="F19" s="3" t="n">
        <v>4720</v>
      </c>
      <c r="G19" s="3" t="n">
        <v>9440</v>
      </c>
      <c r="H19" s="3" t="n">
        <v>18880</v>
      </c>
      <c r="I19" s="3" t="n">
        <v>37760</v>
      </c>
      <c r="J19" s="3" t="n">
        <v>75520</v>
      </c>
    </row>
    <row r="20" customFormat="false" ht="15" hidden="false" customHeight="false" outlineLevel="0" collapsed="false">
      <c r="A20" s="6" t="s">
        <v>24</v>
      </c>
      <c r="B20" s="3" t="n">
        <v>2331</v>
      </c>
      <c r="C20" s="3" t="n">
        <v>4662</v>
      </c>
      <c r="D20" s="3" t="n">
        <v>9324</v>
      </c>
      <c r="E20" s="3" t="n">
        <v>18648</v>
      </c>
      <c r="F20" s="3" t="n">
        <v>37296</v>
      </c>
      <c r="G20" s="3" t="n">
        <v>74592</v>
      </c>
      <c r="H20" s="3" t="n">
        <v>149184</v>
      </c>
      <c r="I20" s="3" t="n">
        <v>298368</v>
      </c>
      <c r="J20" s="3" t="n">
        <v>596736</v>
      </c>
    </row>
    <row r="22" customFormat="false" ht="15" hidden="false" customHeight="false" outlineLevel="0" collapsed="false">
      <c r="A22" s="2" t="s">
        <v>25</v>
      </c>
    </row>
    <row r="23" customFormat="false" ht="15" hidden="false" customHeight="false" outlineLevel="0" collapsed="false">
      <c r="A23" s="6" t="s">
        <v>26</v>
      </c>
      <c r="B23" s="3" t="n">
        <v>54</v>
      </c>
      <c r="C23" s="3" t="n">
        <v>54</v>
      </c>
      <c r="D23" s="3" t="n">
        <v>56</v>
      </c>
      <c r="E23" s="3" t="n">
        <v>54</v>
      </c>
      <c r="F23" s="3" t="n">
        <v>123</v>
      </c>
      <c r="G23" s="3" t="n">
        <v>395</v>
      </c>
      <c r="H23" s="3" t="n">
        <v>1580</v>
      </c>
      <c r="I23" s="3" t="n">
        <v>6320</v>
      </c>
      <c r="J23" s="3" t="n">
        <v>25280</v>
      </c>
    </row>
    <row r="24" customFormat="false" ht="15" hidden="false" customHeight="false" outlineLevel="0" collapsed="false">
      <c r="A24" s="6" t="s">
        <v>27</v>
      </c>
      <c r="B24" s="3" t="n">
        <v>54</v>
      </c>
      <c r="C24" s="3" t="n">
        <v>55</v>
      </c>
      <c r="D24" s="3" t="n">
        <v>55</v>
      </c>
      <c r="E24" s="3" t="n">
        <v>54</v>
      </c>
      <c r="F24" s="3" t="n">
        <v>123</v>
      </c>
      <c r="G24" s="3" t="n">
        <v>328</v>
      </c>
      <c r="H24" s="3" t="n">
        <v>1312</v>
      </c>
      <c r="I24" s="3" t="n">
        <v>5248</v>
      </c>
      <c r="J24" s="3" t="n">
        <v>20992</v>
      </c>
    </row>
    <row r="25" customFormat="false" ht="15" hidden="false" customHeight="false" outlineLevel="0" collapsed="false">
      <c r="A25" s="6" t="s">
        <v>28</v>
      </c>
      <c r="B25" s="3" t="n">
        <v>78</v>
      </c>
      <c r="C25" s="3" t="n">
        <v>108</v>
      </c>
      <c r="D25" s="3" t="n">
        <v>216</v>
      </c>
      <c r="E25" s="3" t="n">
        <v>429</v>
      </c>
      <c r="F25" s="3" t="n">
        <v>855</v>
      </c>
      <c r="G25" s="3" t="n">
        <v>1713</v>
      </c>
      <c r="H25" s="3" t="n">
        <v>3525</v>
      </c>
      <c r="I25" s="3" t="n">
        <v>7050</v>
      </c>
      <c r="J25" s="3" t="n">
        <v>14100</v>
      </c>
    </row>
    <row r="26" customFormat="false" ht="15" hidden="false" customHeight="false" outlineLevel="0" collapsed="false">
      <c r="A26" s="6" t="s">
        <v>29</v>
      </c>
      <c r="B26" s="3" t="n">
        <v>26</v>
      </c>
      <c r="C26" s="3" t="n">
        <v>36</v>
      </c>
      <c r="D26" s="3" t="n">
        <v>72</v>
      </c>
      <c r="E26" s="3" t="n">
        <v>143</v>
      </c>
      <c r="F26" s="3" t="n">
        <v>285</v>
      </c>
      <c r="G26" s="3" t="n">
        <v>571</v>
      </c>
      <c r="H26" s="3" t="n">
        <v>1175</v>
      </c>
      <c r="I26" s="3" t="n">
        <v>2350</v>
      </c>
      <c r="J26" s="3" t="n">
        <v>4700</v>
      </c>
    </row>
    <row r="27" customFormat="false" ht="15" hidden="false" customHeight="false" outlineLevel="0" collapsed="false">
      <c r="A27" s="6" t="s">
        <v>30</v>
      </c>
      <c r="B27" s="3" t="n">
        <v>204</v>
      </c>
      <c r="C27" s="3" t="n">
        <v>291</v>
      </c>
      <c r="D27" s="3" t="n">
        <v>576</v>
      </c>
      <c r="E27" s="3" t="n">
        <v>1149</v>
      </c>
      <c r="F27" s="3" t="n">
        <v>2301</v>
      </c>
      <c r="G27" s="3" t="n">
        <v>4680</v>
      </c>
      <c r="H27" s="3" t="n">
        <v>9369</v>
      </c>
      <c r="I27" s="3" t="n">
        <v>18720</v>
      </c>
      <c r="J27" s="3" t="n">
        <v>38400</v>
      </c>
    </row>
    <row r="30" customFormat="false" ht="15" hidden="false" customHeight="false" outlineLevel="0" collapsed="false">
      <c r="A30" s="4" t="s">
        <v>31</v>
      </c>
    </row>
    <row r="31" customFormat="false" ht="15" hidden="false" customHeight="false" outlineLevel="0" collapsed="false">
      <c r="A31" s="2"/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</row>
    <row r="32" customFormat="false" ht="15" hidden="false" customHeight="false" outlineLevel="0" collapsed="false">
      <c r="A32" s="2" t="s">
        <v>13</v>
      </c>
    </row>
    <row r="33" customFormat="false" ht="15" hidden="false" customHeight="false" outlineLevel="0" collapsed="false">
      <c r="A33" s="6" t="s">
        <v>14</v>
      </c>
      <c r="B33" s="3" t="n">
        <v>99</v>
      </c>
      <c r="C33" s="3" t="n">
        <v>102</v>
      </c>
      <c r="D33" s="3" t="n">
        <v>166</v>
      </c>
      <c r="E33" s="3" t="n">
        <v>246</v>
      </c>
      <c r="F33" s="3" t="n">
        <v>460</v>
      </c>
      <c r="G33" s="3" t="n">
        <v>852</v>
      </c>
      <c r="H33" s="3" t="n">
        <v>1584</v>
      </c>
      <c r="I33" s="3" t="n">
        <v>3186</v>
      </c>
      <c r="J33" s="3" t="n">
        <v>6225</v>
      </c>
    </row>
    <row r="34" customFormat="false" ht="15" hidden="false" customHeight="false" outlineLevel="0" collapsed="false">
      <c r="A34" s="6" t="s">
        <v>15</v>
      </c>
      <c r="B34" s="3" t="n">
        <v>95</v>
      </c>
      <c r="C34" s="3" t="n">
        <v>101</v>
      </c>
      <c r="D34" s="3" t="n">
        <v>132</v>
      </c>
      <c r="E34" s="3" t="n">
        <v>234</v>
      </c>
      <c r="F34" s="3" t="n">
        <v>392</v>
      </c>
      <c r="G34" s="3" t="n">
        <v>715</v>
      </c>
      <c r="H34" s="3" t="n">
        <v>1458</v>
      </c>
      <c r="I34" s="3" t="n">
        <v>3008</v>
      </c>
      <c r="J34" s="3" t="n">
        <v>5701</v>
      </c>
    </row>
    <row r="35" customFormat="false" ht="15" hidden="false" customHeight="false" outlineLevel="0" collapsed="false">
      <c r="A35" s="6" t="s">
        <v>16</v>
      </c>
      <c r="B35" s="3" t="n">
        <v>4668</v>
      </c>
      <c r="C35" s="3" t="n">
        <v>4668</v>
      </c>
      <c r="D35" s="3" t="n">
        <v>4668</v>
      </c>
      <c r="E35" s="3" t="n">
        <v>4668</v>
      </c>
      <c r="F35" s="3" t="n">
        <v>4668</v>
      </c>
      <c r="G35" s="3" t="n">
        <v>4668</v>
      </c>
      <c r="H35" s="3" t="n">
        <v>4668</v>
      </c>
      <c r="I35" s="3" t="n">
        <v>4668</v>
      </c>
      <c r="J35" s="3" t="n">
        <v>4668</v>
      </c>
    </row>
    <row r="36" customFormat="false" ht="15" hidden="false" customHeight="false" outlineLevel="0" collapsed="false">
      <c r="A36" s="6" t="s">
        <v>17</v>
      </c>
      <c r="B36" s="3" t="n">
        <v>1556</v>
      </c>
      <c r="C36" s="3" t="n">
        <v>1556</v>
      </c>
      <c r="D36" s="3" t="n">
        <v>1556</v>
      </c>
      <c r="E36" s="3" t="n">
        <v>1556</v>
      </c>
      <c r="F36" s="3" t="n">
        <v>1556</v>
      </c>
      <c r="G36" s="3" t="n">
        <v>1556</v>
      </c>
      <c r="H36" s="3" t="n">
        <v>1556</v>
      </c>
      <c r="I36" s="3" t="n">
        <v>1556</v>
      </c>
      <c r="J36" s="3" t="n">
        <v>1556</v>
      </c>
    </row>
    <row r="37" customFormat="false" ht="15" hidden="false" customHeight="false" outlineLevel="0" collapsed="false">
      <c r="A37" s="6" t="s">
        <v>18</v>
      </c>
      <c r="B37" s="3" t="n">
        <v>12406</v>
      </c>
      <c r="C37" s="3" t="n">
        <v>12406</v>
      </c>
      <c r="D37" s="3" t="n">
        <v>12406</v>
      </c>
      <c r="E37" s="3" t="n">
        <v>12406</v>
      </c>
      <c r="F37" s="3" t="n">
        <v>12406</v>
      </c>
      <c r="G37" s="3" t="n">
        <v>12406</v>
      </c>
      <c r="H37" s="3" t="n">
        <v>12406</v>
      </c>
      <c r="I37" s="3" t="n">
        <v>12406</v>
      </c>
      <c r="J37" s="3" t="n">
        <v>12406</v>
      </c>
    </row>
    <row r="39" customFormat="false" ht="15" hidden="false" customHeight="false" outlineLevel="0" collapsed="false">
      <c r="A39" s="2" t="s">
        <v>19</v>
      </c>
    </row>
    <row r="40" customFormat="false" ht="15" hidden="false" customHeight="false" outlineLevel="0" collapsed="false">
      <c r="A40" s="6" t="s">
        <v>20</v>
      </c>
      <c r="B40" s="3" t="n">
        <v>58</v>
      </c>
      <c r="C40" s="3" t="n">
        <v>57</v>
      </c>
      <c r="D40" s="3" t="n">
        <v>59</v>
      </c>
      <c r="E40" s="3" t="n">
        <v>59</v>
      </c>
      <c r="F40" s="3" t="n">
        <v>59</v>
      </c>
      <c r="G40" s="3" t="n">
        <v>92</v>
      </c>
      <c r="H40" s="3" t="n">
        <v>156</v>
      </c>
      <c r="I40" s="3" t="n">
        <v>263</v>
      </c>
      <c r="J40" s="3" t="n">
        <v>466</v>
      </c>
    </row>
    <row r="41" customFormat="false" ht="15" hidden="false" customHeight="false" outlineLevel="0" collapsed="false">
      <c r="A41" s="6" t="s">
        <v>21</v>
      </c>
      <c r="B41" s="3" t="n">
        <v>57</v>
      </c>
      <c r="C41" s="3" t="n">
        <v>58</v>
      </c>
      <c r="D41" s="3" t="n">
        <v>58</v>
      </c>
      <c r="E41" s="3" t="n">
        <v>58</v>
      </c>
      <c r="F41" s="3" t="n">
        <v>58</v>
      </c>
      <c r="G41" s="3" t="n">
        <v>92</v>
      </c>
      <c r="H41" s="3" t="n">
        <v>156</v>
      </c>
      <c r="I41" s="3" t="n">
        <v>230</v>
      </c>
      <c r="J41" s="3" t="n">
        <v>432</v>
      </c>
    </row>
    <row r="42" customFormat="false" ht="15" hidden="false" customHeight="false" outlineLevel="0" collapsed="false">
      <c r="A42" s="6" t="s">
        <v>22</v>
      </c>
      <c r="B42" s="3" t="n">
        <v>126</v>
      </c>
      <c r="C42" s="3" t="n">
        <v>126</v>
      </c>
      <c r="D42" s="3" t="n">
        <v>126</v>
      </c>
      <c r="E42" s="3" t="n">
        <v>126</v>
      </c>
      <c r="F42" s="3" t="n">
        <v>126</v>
      </c>
      <c r="G42" s="3" t="n">
        <v>126</v>
      </c>
      <c r="H42" s="3" t="n">
        <v>126</v>
      </c>
      <c r="I42" s="3" t="n">
        <v>126</v>
      </c>
      <c r="J42" s="3" t="n">
        <v>126</v>
      </c>
    </row>
    <row r="43" customFormat="false" ht="15" hidden="false" customHeight="false" outlineLevel="0" collapsed="false">
      <c r="A43" s="6" t="s">
        <v>23</v>
      </c>
      <c r="B43" s="3" t="n">
        <v>42</v>
      </c>
      <c r="C43" s="3" t="n">
        <v>42</v>
      </c>
      <c r="D43" s="3" t="n">
        <v>42</v>
      </c>
      <c r="E43" s="3" t="n">
        <v>42</v>
      </c>
      <c r="F43" s="3" t="n">
        <v>42</v>
      </c>
      <c r="G43" s="3" t="n">
        <v>42</v>
      </c>
      <c r="H43" s="3" t="n">
        <v>42</v>
      </c>
      <c r="I43" s="3" t="n">
        <v>42</v>
      </c>
      <c r="J43" s="3" t="n">
        <v>42</v>
      </c>
    </row>
    <row r="44" customFormat="false" ht="15" hidden="false" customHeight="false" outlineLevel="0" collapsed="false">
      <c r="A44" s="6" t="s">
        <v>24</v>
      </c>
      <c r="B44" s="3" t="n">
        <v>327</v>
      </c>
      <c r="C44" s="3" t="n">
        <v>327</v>
      </c>
      <c r="D44" s="3" t="n">
        <v>327</v>
      </c>
      <c r="E44" s="3" t="n">
        <v>327</v>
      </c>
      <c r="F44" s="3" t="n">
        <v>327</v>
      </c>
      <c r="G44" s="3" t="n">
        <v>327</v>
      </c>
      <c r="H44" s="3" t="n">
        <v>327</v>
      </c>
      <c r="I44" s="3" t="n">
        <v>327</v>
      </c>
      <c r="J44" s="3" t="n">
        <v>327</v>
      </c>
    </row>
    <row r="46" customFormat="false" ht="15" hidden="false" customHeight="false" outlineLevel="0" collapsed="false">
      <c r="A46" s="2" t="s">
        <v>25</v>
      </c>
    </row>
    <row r="47" customFormat="false" ht="15" hidden="false" customHeight="false" outlineLevel="0" collapsed="false">
      <c r="A47" s="6" t="s">
        <v>26</v>
      </c>
      <c r="B47" s="3" t="n">
        <v>54</v>
      </c>
      <c r="C47" s="3" t="n">
        <v>54</v>
      </c>
      <c r="D47" s="3" t="n">
        <v>54</v>
      </c>
      <c r="E47" s="3" t="n">
        <v>54</v>
      </c>
      <c r="F47" s="3" t="n">
        <v>54</v>
      </c>
      <c r="G47" s="3" t="n">
        <v>54</v>
      </c>
      <c r="H47" s="3" t="n">
        <v>55</v>
      </c>
      <c r="I47" s="3" t="n">
        <v>89</v>
      </c>
      <c r="J47" s="3" t="n">
        <v>122</v>
      </c>
    </row>
    <row r="48" customFormat="false" ht="15" hidden="false" customHeight="false" outlineLevel="0" collapsed="false">
      <c r="A48" s="6" t="s">
        <v>27</v>
      </c>
      <c r="B48" s="3" t="n">
        <v>54</v>
      </c>
      <c r="C48" s="3" t="n">
        <v>54</v>
      </c>
      <c r="D48" s="3" t="n">
        <v>54</v>
      </c>
      <c r="E48" s="3" t="n">
        <v>54</v>
      </c>
      <c r="F48" s="3" t="n">
        <v>54</v>
      </c>
      <c r="G48" s="3" t="n">
        <v>54</v>
      </c>
      <c r="H48" s="3" t="n">
        <v>54</v>
      </c>
      <c r="I48" s="3" t="n">
        <v>88</v>
      </c>
      <c r="J48" s="3" t="n">
        <v>88</v>
      </c>
    </row>
    <row r="49" customFormat="false" ht="15" hidden="false" customHeight="false" outlineLevel="0" collapsed="false">
      <c r="A49" s="6" t="s">
        <v>28</v>
      </c>
      <c r="B49" s="3" t="n">
        <v>48</v>
      </c>
      <c r="C49" s="3" t="n">
        <v>48</v>
      </c>
      <c r="D49" s="3" t="n">
        <v>48</v>
      </c>
      <c r="E49" s="3" t="n">
        <v>48</v>
      </c>
      <c r="F49" s="3" t="n">
        <v>48</v>
      </c>
      <c r="G49" s="3" t="n">
        <v>48</v>
      </c>
      <c r="H49" s="3" t="n">
        <v>48</v>
      </c>
      <c r="I49" s="3" t="n">
        <v>48</v>
      </c>
      <c r="J49" s="3" t="n">
        <v>48</v>
      </c>
    </row>
    <row r="50" customFormat="false" ht="15" hidden="false" customHeight="false" outlineLevel="0" collapsed="false">
      <c r="A50" s="6" t="s">
        <v>29</v>
      </c>
      <c r="B50" s="3" t="n">
        <v>16</v>
      </c>
      <c r="C50" s="3" t="n">
        <v>16</v>
      </c>
      <c r="D50" s="3" t="n">
        <v>16</v>
      </c>
      <c r="E50" s="3" t="n">
        <v>16</v>
      </c>
      <c r="F50" s="3" t="n">
        <v>16</v>
      </c>
      <c r="G50" s="3" t="n">
        <v>16</v>
      </c>
      <c r="H50" s="3" t="n">
        <v>16</v>
      </c>
      <c r="I50" s="3" t="n">
        <v>16</v>
      </c>
      <c r="J50" s="3" t="n">
        <v>16</v>
      </c>
    </row>
    <row r="51" customFormat="false" ht="15" hidden="false" customHeight="false" outlineLevel="0" collapsed="false">
      <c r="A51" s="6" t="s">
        <v>30</v>
      </c>
      <c r="B51" s="3" t="n">
        <v>129</v>
      </c>
      <c r="C51" s="3" t="n">
        <v>129</v>
      </c>
      <c r="D51" s="3" t="n">
        <v>129</v>
      </c>
      <c r="E51" s="3" t="n">
        <v>129</v>
      </c>
      <c r="F51" s="3" t="n">
        <v>129</v>
      </c>
      <c r="G51" s="3" t="n">
        <v>129</v>
      </c>
      <c r="H51" s="3" t="n">
        <v>129</v>
      </c>
      <c r="I51" s="3" t="n">
        <v>129</v>
      </c>
      <c r="J51" s="3" t="n">
        <v>129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33</v>
      </c>
      <c r="B3" s="7"/>
      <c r="C3" s="7"/>
      <c r="D3" s="7"/>
      <c r="E3" s="7"/>
      <c r="F3" s="7"/>
    </row>
    <row r="4" customFormat="false" ht="15" hidden="false" customHeight="false" outlineLevel="0" collapsed="false">
      <c r="A4" s="8" t="s">
        <v>34</v>
      </c>
      <c r="B4" s="5" t="s">
        <v>35</v>
      </c>
      <c r="C4" s="5" t="s">
        <v>36</v>
      </c>
      <c r="D4" s="5" t="s">
        <v>37</v>
      </c>
      <c r="E4" s="5" t="s">
        <v>38</v>
      </c>
    </row>
    <row r="5" customFormat="false" ht="15" hidden="false" customHeight="false" outlineLevel="0" collapsed="false">
      <c r="A5" s="6" t="s">
        <v>39</v>
      </c>
      <c r="B5" s="9" t="n">
        <f aca="false">RawData!$E$9/RawData!$B$3</f>
        <v>1162.41413150147</v>
      </c>
      <c r="C5" s="9" t="n">
        <f aca="false">RawData!$E$9/RawData!$B$3</f>
        <v>1162.41413150147</v>
      </c>
      <c r="D5" s="9" t="n">
        <f aca="false">RawData!$E$16</f>
        <v>562</v>
      </c>
      <c r="E5" s="9" t="n">
        <f aca="false">RawData!$E$23</f>
        <v>54</v>
      </c>
    </row>
    <row r="6" customFormat="false" ht="15" hidden="false" customHeight="false" outlineLevel="0" collapsed="false">
      <c r="A6" s="6" t="s">
        <v>40</v>
      </c>
      <c r="B6" s="9" t="n">
        <f aca="false">RawData!$E$10/RawData!$B$3</f>
        <v>1005.69185475957</v>
      </c>
      <c r="C6" s="9" t="n">
        <f aca="false">RawData!$E$10/RawData!$B$3</f>
        <v>1005.69185475957</v>
      </c>
      <c r="D6" s="9" t="n">
        <f aca="false">RawData!$E$17</f>
        <v>409</v>
      </c>
      <c r="E6" s="9" t="n">
        <f aca="false">RawData!$E$24</f>
        <v>54</v>
      </c>
    </row>
    <row r="7" customFormat="false" ht="15" hidden="false" customHeight="false" outlineLevel="0" collapsed="false">
      <c r="A7" s="6" t="s">
        <v>41</v>
      </c>
      <c r="B7" s="9" t="n">
        <f aca="false">RawData!$E$11/RawData!$B$3</f>
        <v>26308.1452404318</v>
      </c>
      <c r="C7" s="9" t="n">
        <f aca="false">RawData!$E$18</f>
        <v>7080</v>
      </c>
      <c r="D7" s="9" t="n">
        <f aca="false">RawData!$E$18</f>
        <v>7080</v>
      </c>
      <c r="E7" s="9" t="n">
        <f aca="false">RawData!$E$25</f>
        <v>429</v>
      </c>
    </row>
    <row r="8" customFormat="false" ht="15" hidden="false" customHeight="false" outlineLevel="0" collapsed="false">
      <c r="A8" s="6" t="s">
        <v>42</v>
      </c>
      <c r="B8" s="9" t="n">
        <f aca="false">RawData!$E$12/RawData!$B$3</f>
        <v>8769.3817468106</v>
      </c>
      <c r="C8" s="9" t="n">
        <f aca="false">RawData!$E$19</f>
        <v>2360</v>
      </c>
      <c r="D8" s="9" t="n">
        <f aca="false">RawData!$E$19</f>
        <v>2360</v>
      </c>
      <c r="E8" s="9" t="n">
        <f aca="false">RawData!$E$26</f>
        <v>143</v>
      </c>
    </row>
    <row r="9" customFormat="false" ht="15" hidden="false" customHeight="false" outlineLevel="0" collapsed="false">
      <c r="A9" s="6" t="s">
        <v>43</v>
      </c>
      <c r="B9" s="9" t="n">
        <f aca="false">RawData!$E$13/RawData!$B$3</f>
        <v>71752.6987242395</v>
      </c>
      <c r="C9" s="9" t="n">
        <f aca="false">RawData!$E$20</f>
        <v>18648</v>
      </c>
      <c r="D9" s="9" t="n">
        <f aca="false">RawData!$E$20</f>
        <v>18648</v>
      </c>
      <c r="E9" s="9" t="n">
        <f aca="false">RawData!$E$27</f>
        <v>1149</v>
      </c>
    </row>
    <row r="10" customFormat="false" ht="15" hidden="false" customHeight="false" outlineLevel="0" collapsed="false">
      <c r="A10" s="2" t="s">
        <v>44</v>
      </c>
      <c r="B10" s="10" t="n">
        <f aca="false">SUM(B5:B9)</f>
        <v>108998.331697743</v>
      </c>
      <c r="C10" s="10" t="n">
        <f aca="false">SUM(C5:C9)</f>
        <v>30256.105986261</v>
      </c>
      <c r="D10" s="10" t="n">
        <f aca="false">SUM(D5:D9)</f>
        <v>29059</v>
      </c>
      <c r="E10" s="10" t="n">
        <f aca="false">SUM(E5:E9)</f>
        <v>1829</v>
      </c>
    </row>
    <row r="12" customFormat="false" ht="15" hidden="false" customHeight="false" outlineLevel="0" collapsed="false">
      <c r="A12" s="7" t="s">
        <v>45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8" t="s">
        <v>34</v>
      </c>
      <c r="B13" s="5" t="s">
        <v>35</v>
      </c>
      <c r="C13" s="5" t="s">
        <v>36</v>
      </c>
      <c r="D13" s="5" t="s">
        <v>37</v>
      </c>
      <c r="E13" s="5" t="s">
        <v>38</v>
      </c>
    </row>
    <row r="14" customFormat="false" ht="15" hidden="false" customHeight="false" outlineLevel="0" collapsed="false">
      <c r="A14" s="6" t="s">
        <v>39</v>
      </c>
      <c r="B14" s="9" t="n">
        <f aca="false">RawData!$J$9/RawData!$B$3</f>
        <v>1118783.12070658</v>
      </c>
      <c r="C14" s="9" t="n">
        <f aca="false">RawData!$J$9/RawData!$B$3</f>
        <v>1118783.12070658</v>
      </c>
      <c r="D14" s="9" t="n">
        <f aca="false">RawData!$J$16</f>
        <v>499897</v>
      </c>
      <c r="E14" s="9" t="n">
        <f aca="false">RawData!$J$23</f>
        <v>25280</v>
      </c>
    </row>
    <row r="15" customFormat="false" ht="15" hidden="false" customHeight="false" outlineLevel="0" collapsed="false">
      <c r="A15" s="6" t="s">
        <v>40</v>
      </c>
      <c r="B15" s="9" t="n">
        <f aca="false">RawData!$J$10/RawData!$B$3</f>
        <v>1118783.12070658</v>
      </c>
      <c r="C15" s="9" t="n">
        <f aca="false">RawData!$J$10/RawData!$B$3</f>
        <v>1118783.12070658</v>
      </c>
      <c r="D15" s="9" t="n">
        <f aca="false">RawData!$J$17</f>
        <v>318406</v>
      </c>
      <c r="E15" s="9" t="n">
        <f aca="false">RawData!$J$24</f>
        <v>20992</v>
      </c>
    </row>
    <row r="16" customFormat="false" ht="15" hidden="false" customHeight="false" outlineLevel="0" collapsed="false">
      <c r="A16" s="6" t="s">
        <v>41</v>
      </c>
      <c r="B16" s="9" t="n">
        <f aca="false">RawData!$J$11/RawData!$B$3</f>
        <v>841860.647693818</v>
      </c>
      <c r="C16" s="9" t="n">
        <f aca="false">RawData!$J$18</f>
        <v>226560</v>
      </c>
      <c r="D16" s="9" t="n">
        <f aca="false">RawData!$J$18</f>
        <v>226560</v>
      </c>
      <c r="E16" s="9" t="n">
        <f aca="false">RawData!$J$25</f>
        <v>14100</v>
      </c>
    </row>
    <row r="17" customFormat="false" ht="15" hidden="false" customHeight="false" outlineLevel="0" collapsed="false">
      <c r="A17" s="6" t="s">
        <v>42</v>
      </c>
      <c r="B17" s="9" t="n">
        <f aca="false">RawData!$J$12/RawData!$B$3</f>
        <v>280620.215897939</v>
      </c>
      <c r="C17" s="9" t="n">
        <f aca="false">RawData!$J$19</f>
        <v>75520</v>
      </c>
      <c r="D17" s="9" t="n">
        <f aca="false">RawData!$J$19</f>
        <v>75520</v>
      </c>
      <c r="E17" s="9" t="n">
        <f aca="false">RawData!$J$26</f>
        <v>4700</v>
      </c>
    </row>
    <row r="18" customFormat="false" ht="15" hidden="false" customHeight="false" outlineLevel="0" collapsed="false">
      <c r="A18" s="6" t="s">
        <v>43</v>
      </c>
      <c r="B18" s="9" t="n">
        <f aca="false">RawData!$J$13/RawData!$B$3</f>
        <v>2296086.35917566</v>
      </c>
      <c r="C18" s="9" t="n">
        <f aca="false">RawData!$J$20</f>
        <v>596736</v>
      </c>
      <c r="D18" s="9" t="n">
        <f aca="false">RawData!$J$20</f>
        <v>596736</v>
      </c>
      <c r="E18" s="9" t="n">
        <f aca="false">RawData!$J$27</f>
        <v>38400</v>
      </c>
    </row>
    <row r="19" customFormat="false" ht="15" hidden="false" customHeight="false" outlineLevel="0" collapsed="false">
      <c r="A19" s="2" t="s">
        <v>44</v>
      </c>
      <c r="B19" s="10" t="n">
        <f aca="false">SUM(B14:B18)</f>
        <v>5656133.46418057</v>
      </c>
      <c r="C19" s="10" t="n">
        <f aca="false">SUM(C14:C18)</f>
        <v>3136382.24141315</v>
      </c>
      <c r="D19" s="10" t="n">
        <f aca="false">SUM(D14:D18)</f>
        <v>1717119</v>
      </c>
      <c r="E19" s="10" t="n">
        <f aca="false">SUM(E14:E18)</f>
        <v>103472</v>
      </c>
    </row>
    <row r="21" customFormat="false" ht="15" hidden="false" customHeight="false" outlineLevel="0" collapsed="false">
      <c r="A21" s="7" t="s">
        <v>46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8" t="s">
        <v>34</v>
      </c>
      <c r="B22" s="5" t="s">
        <v>35</v>
      </c>
      <c r="C22" s="5" t="s">
        <v>36</v>
      </c>
      <c r="D22" s="5" t="s">
        <v>37</v>
      </c>
      <c r="E22" s="5" t="s">
        <v>38</v>
      </c>
    </row>
    <row r="23" customFormat="false" ht="15" hidden="false" customHeight="false" outlineLevel="0" collapsed="false">
      <c r="A23" s="6" t="s">
        <v>39</v>
      </c>
      <c r="B23" s="9" t="n">
        <f aca="false">RawData!$E$33/RawData!$B$3</f>
        <v>24.1413150147203</v>
      </c>
      <c r="C23" s="9" t="n">
        <f aca="false">RawData!$E$33/RawData!$B$3</f>
        <v>24.1413150147203</v>
      </c>
      <c r="D23" s="9" t="n">
        <f aca="false">RawData!$E$40</f>
        <v>59</v>
      </c>
      <c r="E23" s="9" t="n">
        <f aca="false">RawData!$E$47</f>
        <v>54</v>
      </c>
    </row>
    <row r="24" customFormat="false" ht="15" hidden="false" customHeight="false" outlineLevel="0" collapsed="false">
      <c r="A24" s="6" t="s">
        <v>40</v>
      </c>
      <c r="B24" s="9" t="n">
        <f aca="false">RawData!$E$34/RawData!$B$3</f>
        <v>22.963689892051</v>
      </c>
      <c r="C24" s="9" t="n">
        <f aca="false">RawData!$E$34/RawData!$B$3</f>
        <v>22.963689892051</v>
      </c>
      <c r="D24" s="9" t="n">
        <f aca="false">RawData!$E$41</f>
        <v>58</v>
      </c>
      <c r="E24" s="9" t="n">
        <f aca="false">RawData!$E$48</f>
        <v>54</v>
      </c>
    </row>
    <row r="25" customFormat="false" ht="15" hidden="false" customHeight="false" outlineLevel="0" collapsed="false">
      <c r="A25" s="6" t="s">
        <v>41</v>
      </c>
      <c r="B25" s="9" t="n">
        <f aca="false">RawData!$E$35/RawData!$B$3</f>
        <v>458.096172718351</v>
      </c>
      <c r="C25" s="9" t="n">
        <f aca="false">RawData!$E$42</f>
        <v>126</v>
      </c>
      <c r="D25" s="9" t="n">
        <f aca="false">RawData!$E$42</f>
        <v>126</v>
      </c>
      <c r="E25" s="9" t="n">
        <f aca="false">RawData!$E$49</f>
        <v>48</v>
      </c>
    </row>
    <row r="26" customFormat="false" ht="15" hidden="false" customHeight="false" outlineLevel="0" collapsed="false">
      <c r="A26" s="6" t="s">
        <v>42</v>
      </c>
      <c r="B26" s="9" t="n">
        <f aca="false">RawData!$E$36/RawData!$B$3</f>
        <v>152.69872423945</v>
      </c>
      <c r="C26" s="9" t="n">
        <f aca="false">RawData!$E$43</f>
        <v>42</v>
      </c>
      <c r="D26" s="9" t="n">
        <f aca="false">RawData!$E$43</f>
        <v>42</v>
      </c>
      <c r="E26" s="9" t="n">
        <f aca="false">RawData!$E$50</f>
        <v>16</v>
      </c>
    </row>
    <row r="27" customFormat="false" ht="15" hidden="false" customHeight="false" outlineLevel="0" collapsed="false">
      <c r="A27" s="6" t="s">
        <v>43</v>
      </c>
      <c r="B27" s="9" t="n">
        <f aca="false">RawData!$E$37/RawData!$B$3</f>
        <v>1217.46810598626</v>
      </c>
      <c r="C27" s="9" t="n">
        <f aca="false">RawData!$E$44</f>
        <v>327</v>
      </c>
      <c r="D27" s="9" t="n">
        <f aca="false">RawData!$E$44</f>
        <v>327</v>
      </c>
      <c r="E27" s="9" t="n">
        <f aca="false">RawData!$E$51</f>
        <v>129</v>
      </c>
    </row>
    <row r="28" customFormat="false" ht="15" hidden="false" customHeight="false" outlineLevel="0" collapsed="false">
      <c r="A28" s="2" t="s">
        <v>44</v>
      </c>
      <c r="B28" s="10" t="n">
        <f aca="false">SUM(B23:B27)</f>
        <v>1875.36800785083</v>
      </c>
      <c r="C28" s="10" t="n">
        <f aca="false">SUM(C23:C27)</f>
        <v>542.105004906771</v>
      </c>
      <c r="D28" s="10" t="n">
        <f aca="false">SUM(D23:D27)</f>
        <v>612</v>
      </c>
      <c r="E28" s="10" t="n">
        <f aca="false">SUM(E23:E27)</f>
        <v>301</v>
      </c>
    </row>
    <row r="30" customFormat="false" ht="15" hidden="false" customHeight="false" outlineLevel="0" collapsed="false">
      <c r="A30" s="7" t="s">
        <v>47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A31" s="8" t="s">
        <v>34</v>
      </c>
      <c r="B31" s="5" t="s">
        <v>35</v>
      </c>
      <c r="C31" s="5" t="s">
        <v>36</v>
      </c>
      <c r="D31" s="5" t="s">
        <v>37</v>
      </c>
      <c r="E31" s="5" t="s">
        <v>38</v>
      </c>
    </row>
    <row r="32" customFormat="false" ht="15" hidden="false" customHeight="false" outlineLevel="0" collapsed="false">
      <c r="A32" s="6" t="s">
        <v>39</v>
      </c>
      <c r="B32" s="9" t="n">
        <f aca="false">RawData!$J$33/RawData!$B$3</f>
        <v>610.893032384691</v>
      </c>
      <c r="C32" s="9" t="n">
        <f aca="false">RawData!$J$33/RawData!$B$3</f>
        <v>610.893032384691</v>
      </c>
      <c r="D32" s="9" t="n">
        <f aca="false">RawData!$J$40</f>
        <v>466</v>
      </c>
      <c r="E32" s="9" t="n">
        <f aca="false">RawData!$J$47</f>
        <v>122</v>
      </c>
    </row>
    <row r="33" customFormat="false" ht="15" hidden="false" customHeight="false" outlineLevel="0" collapsed="false">
      <c r="A33" s="6" t="s">
        <v>40</v>
      </c>
      <c r="B33" s="9" t="n">
        <f aca="false">RawData!$J$34/RawData!$B$3</f>
        <v>559.470068694799</v>
      </c>
      <c r="C33" s="9" t="n">
        <f aca="false">RawData!$J$34/RawData!$B$3</f>
        <v>559.470068694799</v>
      </c>
      <c r="D33" s="9" t="n">
        <f aca="false">RawData!$J$41</f>
        <v>432</v>
      </c>
      <c r="E33" s="9" t="n">
        <f aca="false">RawData!$J$48</f>
        <v>88</v>
      </c>
    </row>
    <row r="34" customFormat="false" ht="15" hidden="false" customHeight="false" outlineLevel="0" collapsed="false">
      <c r="A34" s="6" t="s">
        <v>41</v>
      </c>
      <c r="B34" s="9" t="n">
        <f aca="false">RawData!$J$35/RawData!$B$3</f>
        <v>458.096172718351</v>
      </c>
      <c r="C34" s="9" t="n">
        <f aca="false">RawData!$J$42</f>
        <v>126</v>
      </c>
      <c r="D34" s="9" t="n">
        <f aca="false">RawData!$J$42</f>
        <v>126</v>
      </c>
      <c r="E34" s="9" t="n">
        <f aca="false">RawData!$J$49</f>
        <v>48</v>
      </c>
    </row>
    <row r="35" customFormat="false" ht="15" hidden="false" customHeight="false" outlineLevel="0" collapsed="false">
      <c r="A35" s="6" t="s">
        <v>42</v>
      </c>
      <c r="B35" s="9" t="n">
        <f aca="false">RawData!$J$36/RawData!$B$3</f>
        <v>152.69872423945</v>
      </c>
      <c r="C35" s="9" t="n">
        <f aca="false">RawData!$J$43</f>
        <v>42</v>
      </c>
      <c r="D35" s="9" t="n">
        <f aca="false">RawData!$J$43</f>
        <v>42</v>
      </c>
      <c r="E35" s="9" t="n">
        <f aca="false">RawData!$J$50</f>
        <v>16</v>
      </c>
    </row>
    <row r="36" customFormat="false" ht="15" hidden="false" customHeight="false" outlineLevel="0" collapsed="false">
      <c r="A36" s="6" t="s">
        <v>43</v>
      </c>
      <c r="B36" s="9" t="n">
        <f aca="false">RawData!$J$37/RawData!$B$3</f>
        <v>1217.46810598626</v>
      </c>
      <c r="C36" s="9" t="n">
        <f aca="false">RawData!$J$44</f>
        <v>327</v>
      </c>
      <c r="D36" s="9" t="n">
        <f aca="false">RawData!$J$44</f>
        <v>327</v>
      </c>
      <c r="E36" s="9" t="n">
        <f aca="false">RawData!$J$51</f>
        <v>129</v>
      </c>
    </row>
    <row r="37" customFormat="false" ht="15" hidden="false" customHeight="false" outlineLevel="0" collapsed="false">
      <c r="A37" s="2" t="s">
        <v>44</v>
      </c>
      <c r="B37" s="10" t="n">
        <f aca="false">SUM(B32:B36)</f>
        <v>2998.62610402355</v>
      </c>
      <c r="C37" s="10" t="n">
        <f aca="false">SUM(C32:C36)</f>
        <v>1665.36310107949</v>
      </c>
      <c r="D37" s="10" t="n">
        <f aca="false">SUM(D32:D36)</f>
        <v>1393</v>
      </c>
      <c r="E37" s="10" t="n">
        <f aca="false">SUM(E32:E36)</f>
        <v>403</v>
      </c>
    </row>
  </sheetData>
  <mergeCells count="5">
    <mergeCell ref="A1:H1"/>
    <mergeCell ref="A3:F3"/>
    <mergeCell ref="A12:F12"/>
    <mergeCell ref="A21:F21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33</v>
      </c>
      <c r="B3" s="7"/>
      <c r="C3" s="7"/>
      <c r="D3" s="7"/>
      <c r="E3" s="7"/>
      <c r="F3" s="7"/>
    </row>
    <row r="4" customFormat="false" ht="15" hidden="false" customHeight="false" outlineLevel="0" collapsed="false">
      <c r="A4" s="8" t="s">
        <v>34</v>
      </c>
      <c r="B4" s="5" t="s">
        <v>35</v>
      </c>
      <c r="C4" s="5" t="s">
        <v>36</v>
      </c>
      <c r="D4" s="5" t="s">
        <v>37</v>
      </c>
      <c r="E4" s="5" t="s">
        <v>38</v>
      </c>
    </row>
    <row r="5" customFormat="false" ht="15" hidden="false" customHeight="false" outlineLevel="0" collapsed="false">
      <c r="A5" s="6" t="s">
        <v>39</v>
      </c>
      <c r="B5" s="9" t="n">
        <f aca="false">RawData!$E$9/RawData!$B$4</f>
        <v>3514.83679525223</v>
      </c>
      <c r="C5" s="9" t="n">
        <f aca="false">RawData!$E$9/RawData!$B$4</f>
        <v>3514.83679525223</v>
      </c>
      <c r="D5" s="9" t="n">
        <f aca="false">RawData!$E$16</f>
        <v>562</v>
      </c>
      <c r="E5" s="9" t="n">
        <f aca="false">RawData!$E$23</f>
        <v>54</v>
      </c>
    </row>
    <row r="6" customFormat="false" ht="15" hidden="false" customHeight="false" outlineLevel="0" collapsed="false">
      <c r="A6" s="6" t="s">
        <v>40</v>
      </c>
      <c r="B6" s="9" t="n">
        <f aca="false">RawData!$E$10/RawData!$B$4</f>
        <v>3040.94955489614</v>
      </c>
      <c r="C6" s="9" t="n">
        <f aca="false">RawData!$E$10/RawData!$B$4</f>
        <v>3040.94955489614</v>
      </c>
      <c r="D6" s="9" t="n">
        <f aca="false">RawData!$E$17</f>
        <v>409</v>
      </c>
      <c r="E6" s="9" t="n">
        <f aca="false">RawData!$E$24</f>
        <v>54</v>
      </c>
    </row>
    <row r="7" customFormat="false" ht="15" hidden="false" customHeight="false" outlineLevel="0" collapsed="false">
      <c r="A7" s="6" t="s">
        <v>41</v>
      </c>
      <c r="B7" s="9" t="n">
        <f aca="false">RawData!$E$11/RawData!$B$4</f>
        <v>79548.9614243323</v>
      </c>
      <c r="C7" s="9" t="n">
        <f aca="false">RawData!$E$18</f>
        <v>7080</v>
      </c>
      <c r="D7" s="9" t="n">
        <f aca="false">RawData!$E$18</f>
        <v>7080</v>
      </c>
      <c r="E7" s="9" t="n">
        <f aca="false">RawData!$E$25</f>
        <v>429</v>
      </c>
    </row>
    <row r="8" customFormat="false" ht="15" hidden="false" customHeight="false" outlineLevel="0" collapsed="false">
      <c r="A8" s="6" t="s">
        <v>42</v>
      </c>
      <c r="B8" s="9" t="n">
        <f aca="false">RawData!$E$12/RawData!$B$4</f>
        <v>26516.3204747774</v>
      </c>
      <c r="C8" s="9" t="n">
        <f aca="false">RawData!$E$19</f>
        <v>2360</v>
      </c>
      <c r="D8" s="9" t="n">
        <f aca="false">RawData!$E$19</f>
        <v>2360</v>
      </c>
      <c r="E8" s="9" t="n">
        <f aca="false">RawData!$E$26</f>
        <v>143</v>
      </c>
    </row>
    <row r="9" customFormat="false" ht="15" hidden="false" customHeight="false" outlineLevel="0" collapsed="false">
      <c r="A9" s="6" t="s">
        <v>43</v>
      </c>
      <c r="B9" s="9" t="n">
        <f aca="false">RawData!$E$13/RawData!$B$4</f>
        <v>216961.424332344</v>
      </c>
      <c r="C9" s="9" t="n">
        <f aca="false">RawData!$E$20</f>
        <v>18648</v>
      </c>
      <c r="D9" s="9" t="n">
        <f aca="false">RawData!$E$20</f>
        <v>18648</v>
      </c>
      <c r="E9" s="9" t="n">
        <f aca="false">RawData!$E$27</f>
        <v>1149</v>
      </c>
    </row>
    <row r="10" customFormat="false" ht="15" hidden="false" customHeight="false" outlineLevel="0" collapsed="false">
      <c r="A10" s="2" t="s">
        <v>44</v>
      </c>
      <c r="B10" s="10" t="n">
        <f aca="false">SUM(B5:B9)</f>
        <v>329582.492581602</v>
      </c>
      <c r="C10" s="10" t="n">
        <f aca="false">SUM(C5:C9)</f>
        <v>34643.7863501484</v>
      </c>
      <c r="D10" s="10" t="n">
        <f aca="false">SUM(D5:D9)</f>
        <v>29059</v>
      </c>
      <c r="E10" s="10" t="n">
        <f aca="false">SUM(E5:E9)</f>
        <v>1829</v>
      </c>
    </row>
    <row r="12" customFormat="false" ht="15" hidden="false" customHeight="false" outlineLevel="0" collapsed="false">
      <c r="A12" s="7" t="s">
        <v>45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8" t="s">
        <v>34</v>
      </c>
      <c r="B13" s="5" t="s">
        <v>35</v>
      </c>
      <c r="C13" s="5" t="s">
        <v>36</v>
      </c>
      <c r="D13" s="5" t="s">
        <v>37</v>
      </c>
      <c r="E13" s="5" t="s">
        <v>38</v>
      </c>
    </row>
    <row r="14" customFormat="false" ht="15" hidden="false" customHeight="false" outlineLevel="0" collapsed="false">
      <c r="A14" s="6" t="s">
        <v>39</v>
      </c>
      <c r="B14" s="9" t="n">
        <f aca="false">RawData!$J$9/RawData!$B$4</f>
        <v>3382908.01186944</v>
      </c>
      <c r="C14" s="9" t="n">
        <f aca="false">RawData!$J$9/RawData!$B$4</f>
        <v>3382908.01186944</v>
      </c>
      <c r="D14" s="9" t="n">
        <f aca="false">RawData!$J$16</f>
        <v>499897</v>
      </c>
      <c r="E14" s="9" t="n">
        <f aca="false">RawData!$J$23</f>
        <v>25280</v>
      </c>
    </row>
    <row r="15" customFormat="false" ht="15" hidden="false" customHeight="false" outlineLevel="0" collapsed="false">
      <c r="A15" s="6" t="s">
        <v>40</v>
      </c>
      <c r="B15" s="9" t="n">
        <f aca="false">RawData!$J$10/RawData!$B$4</f>
        <v>3382908.01186944</v>
      </c>
      <c r="C15" s="9" t="n">
        <f aca="false">RawData!$J$10/RawData!$B$4</f>
        <v>3382908.01186944</v>
      </c>
      <c r="D15" s="9" t="n">
        <f aca="false">RawData!$J$17</f>
        <v>318406</v>
      </c>
      <c r="E15" s="9" t="n">
        <f aca="false">RawData!$J$24</f>
        <v>20992</v>
      </c>
    </row>
    <row r="16" customFormat="false" ht="15" hidden="false" customHeight="false" outlineLevel="0" collapsed="false">
      <c r="A16" s="6" t="s">
        <v>41</v>
      </c>
      <c r="B16" s="9" t="n">
        <f aca="false">RawData!$J$11/RawData!$B$4</f>
        <v>2545566.76557864</v>
      </c>
      <c r="C16" s="9" t="n">
        <f aca="false">RawData!$J$18</f>
        <v>226560</v>
      </c>
      <c r="D16" s="9" t="n">
        <f aca="false">RawData!$J$18</f>
        <v>226560</v>
      </c>
      <c r="E16" s="9" t="n">
        <f aca="false">RawData!$J$25</f>
        <v>14100</v>
      </c>
    </row>
    <row r="17" customFormat="false" ht="15" hidden="false" customHeight="false" outlineLevel="0" collapsed="false">
      <c r="A17" s="6" t="s">
        <v>42</v>
      </c>
      <c r="B17" s="9" t="n">
        <f aca="false">RawData!$J$12/RawData!$B$4</f>
        <v>848522.255192878</v>
      </c>
      <c r="C17" s="9" t="n">
        <f aca="false">RawData!$J$19</f>
        <v>75520</v>
      </c>
      <c r="D17" s="9" t="n">
        <f aca="false">RawData!$J$19</f>
        <v>75520</v>
      </c>
      <c r="E17" s="9" t="n">
        <f aca="false">RawData!$J$26</f>
        <v>4700</v>
      </c>
    </row>
    <row r="18" customFormat="false" ht="15" hidden="false" customHeight="false" outlineLevel="0" collapsed="false">
      <c r="A18" s="6" t="s">
        <v>43</v>
      </c>
      <c r="B18" s="9" t="n">
        <f aca="false">RawData!$J$13/RawData!$B$4</f>
        <v>6942765.57863502</v>
      </c>
      <c r="C18" s="9" t="n">
        <f aca="false">RawData!$J$20</f>
        <v>596736</v>
      </c>
      <c r="D18" s="9" t="n">
        <f aca="false">RawData!$J$20</f>
        <v>596736</v>
      </c>
      <c r="E18" s="9" t="n">
        <f aca="false">RawData!$J$27</f>
        <v>38400</v>
      </c>
    </row>
    <row r="19" customFormat="false" ht="15" hidden="false" customHeight="false" outlineLevel="0" collapsed="false">
      <c r="A19" s="2" t="s">
        <v>44</v>
      </c>
      <c r="B19" s="10" t="n">
        <f aca="false">SUM(B14:B18)</f>
        <v>17102670.6231454</v>
      </c>
      <c r="C19" s="10" t="n">
        <f aca="false">SUM(C14:C18)</f>
        <v>7664632.02373887</v>
      </c>
      <c r="D19" s="10" t="n">
        <f aca="false">SUM(D14:D18)</f>
        <v>1717119</v>
      </c>
      <c r="E19" s="10" t="n">
        <f aca="false">SUM(E14:E18)</f>
        <v>103472</v>
      </c>
    </row>
    <row r="21" customFormat="false" ht="15" hidden="false" customHeight="false" outlineLevel="0" collapsed="false">
      <c r="A21" s="7" t="s">
        <v>46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8" t="s">
        <v>34</v>
      </c>
      <c r="B22" s="5" t="s">
        <v>35</v>
      </c>
      <c r="C22" s="5" t="s">
        <v>36</v>
      </c>
      <c r="D22" s="5" t="s">
        <v>37</v>
      </c>
      <c r="E22" s="5" t="s">
        <v>38</v>
      </c>
    </row>
    <row r="23" customFormat="false" ht="15" hidden="false" customHeight="false" outlineLevel="0" collapsed="false">
      <c r="A23" s="6" t="s">
        <v>39</v>
      </c>
      <c r="B23" s="9" t="n">
        <f aca="false">RawData!$E$33/RawData!$B$4</f>
        <v>72.9970326409496</v>
      </c>
      <c r="C23" s="9" t="n">
        <f aca="false">RawData!$E$33/RawData!$B$4</f>
        <v>72.9970326409496</v>
      </c>
      <c r="D23" s="9" t="n">
        <f aca="false">RawData!$E$40</f>
        <v>59</v>
      </c>
      <c r="E23" s="9" t="n">
        <f aca="false">RawData!$E$47</f>
        <v>54</v>
      </c>
    </row>
    <row r="24" customFormat="false" ht="15" hidden="false" customHeight="false" outlineLevel="0" collapsed="false">
      <c r="A24" s="6" t="s">
        <v>40</v>
      </c>
      <c r="B24" s="9" t="n">
        <f aca="false">RawData!$E$34/RawData!$B$4</f>
        <v>69.4362017804154</v>
      </c>
      <c r="C24" s="9" t="n">
        <f aca="false">RawData!$E$34/RawData!$B$4</f>
        <v>69.4362017804154</v>
      </c>
      <c r="D24" s="9" t="n">
        <f aca="false">RawData!$E$41</f>
        <v>58</v>
      </c>
      <c r="E24" s="9" t="n">
        <f aca="false">RawData!$E$48</f>
        <v>54</v>
      </c>
    </row>
    <row r="25" customFormat="false" ht="15" hidden="false" customHeight="false" outlineLevel="0" collapsed="false">
      <c r="A25" s="6" t="s">
        <v>41</v>
      </c>
      <c r="B25" s="9" t="n">
        <f aca="false">RawData!$E$35/RawData!$B$4</f>
        <v>1385.16320474777</v>
      </c>
      <c r="C25" s="9" t="n">
        <f aca="false">RawData!$E$42</f>
        <v>126</v>
      </c>
      <c r="D25" s="9" t="n">
        <f aca="false">RawData!$E$42</f>
        <v>126</v>
      </c>
      <c r="E25" s="9" t="n">
        <f aca="false">RawData!$E$49</f>
        <v>48</v>
      </c>
    </row>
    <row r="26" customFormat="false" ht="15" hidden="false" customHeight="false" outlineLevel="0" collapsed="false">
      <c r="A26" s="6" t="s">
        <v>42</v>
      </c>
      <c r="B26" s="9" t="n">
        <f aca="false">RawData!$E$36/RawData!$B$4</f>
        <v>461.721068249258</v>
      </c>
      <c r="C26" s="9" t="n">
        <f aca="false">RawData!$E$43</f>
        <v>42</v>
      </c>
      <c r="D26" s="9" t="n">
        <f aca="false">RawData!$E$43</f>
        <v>42</v>
      </c>
      <c r="E26" s="9" t="n">
        <f aca="false">RawData!$E$50</f>
        <v>16</v>
      </c>
    </row>
    <row r="27" customFormat="false" ht="15" hidden="false" customHeight="false" outlineLevel="0" collapsed="false">
      <c r="A27" s="6" t="s">
        <v>43</v>
      </c>
      <c r="B27" s="9" t="n">
        <f aca="false">RawData!$E$37/RawData!$B$4</f>
        <v>3681.3056379822</v>
      </c>
      <c r="C27" s="9" t="n">
        <f aca="false">RawData!$E$44</f>
        <v>327</v>
      </c>
      <c r="D27" s="9" t="n">
        <f aca="false">RawData!$E$44</f>
        <v>327</v>
      </c>
      <c r="E27" s="9" t="n">
        <f aca="false">RawData!$E$51</f>
        <v>129</v>
      </c>
    </row>
    <row r="28" customFormat="false" ht="15" hidden="false" customHeight="false" outlineLevel="0" collapsed="false">
      <c r="A28" s="2" t="s">
        <v>44</v>
      </c>
      <c r="B28" s="10" t="n">
        <f aca="false">SUM(B23:B27)</f>
        <v>5670.62314540059</v>
      </c>
      <c r="C28" s="10" t="n">
        <f aca="false">SUM(C23:C27)</f>
        <v>637.433234421365</v>
      </c>
      <c r="D28" s="10" t="n">
        <f aca="false">SUM(D23:D27)</f>
        <v>612</v>
      </c>
      <c r="E28" s="10" t="n">
        <f aca="false">SUM(E23:E27)</f>
        <v>301</v>
      </c>
    </row>
    <row r="30" customFormat="false" ht="15" hidden="false" customHeight="false" outlineLevel="0" collapsed="false">
      <c r="A30" s="7" t="s">
        <v>47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A31" s="8" t="s">
        <v>34</v>
      </c>
      <c r="B31" s="5" t="s">
        <v>35</v>
      </c>
      <c r="C31" s="5" t="s">
        <v>36</v>
      </c>
      <c r="D31" s="5" t="s">
        <v>37</v>
      </c>
      <c r="E31" s="5" t="s">
        <v>38</v>
      </c>
    </row>
    <row r="32" customFormat="false" ht="15" hidden="false" customHeight="false" outlineLevel="0" collapsed="false">
      <c r="A32" s="6" t="s">
        <v>39</v>
      </c>
      <c r="B32" s="9" t="n">
        <f aca="false">RawData!$J$33/RawData!$B$4</f>
        <v>1847.18100890208</v>
      </c>
      <c r="C32" s="9" t="n">
        <f aca="false">RawData!$J$33/RawData!$B$4</f>
        <v>1847.18100890208</v>
      </c>
      <c r="D32" s="9" t="n">
        <f aca="false">RawData!$J$40</f>
        <v>466</v>
      </c>
      <c r="E32" s="9" t="n">
        <f aca="false">RawData!$J$47</f>
        <v>122</v>
      </c>
    </row>
    <row r="33" customFormat="false" ht="15" hidden="false" customHeight="false" outlineLevel="0" collapsed="false">
      <c r="A33" s="6" t="s">
        <v>40</v>
      </c>
      <c r="B33" s="9" t="n">
        <f aca="false">RawData!$J$34/RawData!$B$4</f>
        <v>1691.69139465875</v>
      </c>
      <c r="C33" s="9" t="n">
        <f aca="false">RawData!$J$34/RawData!$B$4</f>
        <v>1691.69139465875</v>
      </c>
      <c r="D33" s="9" t="n">
        <f aca="false">RawData!$J$41</f>
        <v>432</v>
      </c>
      <c r="E33" s="9" t="n">
        <f aca="false">RawData!$J$48</f>
        <v>88</v>
      </c>
    </row>
    <row r="34" customFormat="false" ht="15" hidden="false" customHeight="false" outlineLevel="0" collapsed="false">
      <c r="A34" s="6" t="s">
        <v>41</v>
      </c>
      <c r="B34" s="9" t="n">
        <f aca="false">RawData!$J$35/RawData!$B$4</f>
        <v>1385.16320474777</v>
      </c>
      <c r="C34" s="9" t="n">
        <f aca="false">RawData!$J$42</f>
        <v>126</v>
      </c>
      <c r="D34" s="9" t="n">
        <f aca="false">RawData!$J$42</f>
        <v>126</v>
      </c>
      <c r="E34" s="9" t="n">
        <f aca="false">RawData!$J$49</f>
        <v>48</v>
      </c>
    </row>
    <row r="35" customFormat="false" ht="15" hidden="false" customHeight="false" outlineLevel="0" collapsed="false">
      <c r="A35" s="6" t="s">
        <v>42</v>
      </c>
      <c r="B35" s="9" t="n">
        <f aca="false">RawData!$J$36/RawData!$B$4</f>
        <v>461.721068249258</v>
      </c>
      <c r="C35" s="9" t="n">
        <f aca="false">RawData!$J$43</f>
        <v>42</v>
      </c>
      <c r="D35" s="9" t="n">
        <f aca="false">RawData!$J$43</f>
        <v>42</v>
      </c>
      <c r="E35" s="9" t="n">
        <f aca="false">RawData!$J$50</f>
        <v>16</v>
      </c>
    </row>
    <row r="36" customFormat="false" ht="15" hidden="false" customHeight="false" outlineLevel="0" collapsed="false">
      <c r="A36" s="6" t="s">
        <v>43</v>
      </c>
      <c r="B36" s="9" t="n">
        <f aca="false">RawData!$J$37/RawData!$B$4</f>
        <v>3681.3056379822</v>
      </c>
      <c r="C36" s="9" t="n">
        <f aca="false">RawData!$J$44</f>
        <v>327</v>
      </c>
      <c r="D36" s="9" t="n">
        <f aca="false">RawData!$J$44</f>
        <v>327</v>
      </c>
      <c r="E36" s="9" t="n">
        <f aca="false">RawData!$J$51</f>
        <v>129</v>
      </c>
    </row>
    <row r="37" customFormat="false" ht="15" hidden="false" customHeight="false" outlineLevel="0" collapsed="false">
      <c r="A37" s="2" t="s">
        <v>44</v>
      </c>
      <c r="B37" s="10" t="n">
        <f aca="false">SUM(B32:B36)</f>
        <v>9067.06231454006</v>
      </c>
      <c r="C37" s="10" t="n">
        <f aca="false">SUM(C32:C36)</f>
        <v>4033.87240356083</v>
      </c>
      <c r="D37" s="10" t="n">
        <f aca="false">SUM(D32:D36)</f>
        <v>1393</v>
      </c>
      <c r="E37" s="10" t="n">
        <f aca="false">SUM(E32:E36)</f>
        <v>403</v>
      </c>
    </row>
  </sheetData>
  <mergeCells count="5">
    <mergeCell ref="A1:H1"/>
    <mergeCell ref="A3:F3"/>
    <mergeCell ref="A12:F12"/>
    <mergeCell ref="A21:F21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2026-05-21T09:06:05Z</dcterms:created>
  <dc:creator>openpyxl</dc:creator>
  <dc:description/>
  <dc:language>en-US</dc:language>
  <cp:lastModifiedBy/>
  <dcterms:modified xsi:type="dcterms:W3CDTF">2026-05-21T09:06:05Z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